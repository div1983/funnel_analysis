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" sheetId="1" state="visible" r:id="rId3"/>
    <sheet name="Assumptions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<sst xmlns="http://schemas.openxmlformats.org/spreadsheetml/2006/main" count="349" uniqueCount="46">
  <si>
    <t xml:space="preserve">E-commerce Funnel Analysis (12-week sample dataset)</t>
  </si>
  <si>
    <t xml:space="preserve">Stage</t>
  </si>
  <si>
    <t xml:space="preserve">Users</t>
  </si>
  <si>
    <t xml:space="preserve">% of Visits</t>
  </si>
  <si>
    <t xml:space="preserve">Step Conversion</t>
  </si>
  <si>
    <t xml:space="preserve">Step Drop-off</t>
  </si>
  <si>
    <t xml:space="preserve">Visits</t>
  </si>
  <si>
    <t xml:space="preserve">Product Views</t>
  </si>
  <si>
    <t xml:space="preserve">Add to Cart</t>
  </si>
  <si>
    <t xml:space="preserve">Checkout Started</t>
  </si>
  <si>
    <t xml:space="preserve">Purchases</t>
  </si>
  <si>
    <t xml:space="preserve">Overall conversion (Visit to Purchase)</t>
  </si>
  <si>
    <t xml:space="preserve">Biggest drop-off stage</t>
  </si>
  <si>
    <t xml:space="preserve">By Channel</t>
  </si>
  <si>
    <t xml:space="preserve">Channel</t>
  </si>
  <si>
    <t xml:space="preserve">Conversion Rate</t>
  </si>
  <si>
    <t xml:space="preserve">Cart-to-Checkout</t>
  </si>
  <si>
    <t xml:space="preserve">Checkout-to-Purchase</t>
  </si>
  <si>
    <t xml:space="preserve">Organic Search</t>
  </si>
  <si>
    <t xml:space="preserve">Paid Ads</t>
  </si>
  <si>
    <t xml:space="preserve">Email</t>
  </si>
  <si>
    <t xml:space="preserve">Social</t>
  </si>
  <si>
    <t xml:space="preserve">By Device</t>
  </si>
  <si>
    <t xml:space="preserve">Device</t>
  </si>
  <si>
    <t xml:space="preserve">Desktop</t>
  </si>
  <si>
    <t xml:space="preserve">Mobile</t>
  </si>
  <si>
    <t xml:space="preserve">Tablet</t>
  </si>
  <si>
    <t xml:space="preserve">What-if: Revenue Impact of Improving Checkout-to-Purchase</t>
  </si>
  <si>
    <t xml:space="preserve">Current checkout-to-purchase rate</t>
  </si>
  <si>
    <t xml:space="preserve">Improvement lever (from Assumptions)</t>
  </si>
  <si>
    <t xml:space="preserve">Additional purchases (12 weeks)</t>
  </si>
  <si>
    <t xml:space="preserve">Additional revenue (Rs, at assumed AOV)</t>
  </si>
  <si>
    <t xml:space="preserve">Assumptions &amp; KPI Inputs</t>
  </si>
  <si>
    <t xml:space="preserve">Input</t>
  </si>
  <si>
    <t xml:space="preserve">Value</t>
  </si>
  <si>
    <t xml:space="preserve">Note</t>
  </si>
  <si>
    <t xml:space="preserve">Average order value (AOV, Rs)</t>
  </si>
  <si>
    <t xml:space="preserve">Assumed for revenue impact estimate</t>
  </si>
  <si>
    <t xml:space="preserve">Target improvement in checkout-to-purchase rate (pts)</t>
  </si>
  <si>
    <t xml:space="preserve">What-if lever: edit to test scenarios</t>
  </si>
  <si>
    <t xml:space="preserve">Dataset period</t>
  </si>
  <si>
    <t xml:space="preserve">12 weeks</t>
  </si>
  <si>
    <t xml:space="preserve">Weeks 1-12, sample data</t>
  </si>
  <si>
    <t xml:space="preserve">Blue cells = editable inputs. All other sheets recalculate from Data and these inputs.</t>
  </si>
  <si>
    <t xml:space="preserve">Week</t>
  </si>
  <si>
    <t xml:space="preserve">SAMPLE DATASET: synthetic, generated for portfolio practice. Not real company data.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</si>
</sst>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%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Funnel: Users at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Funnel!B3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Funnel!$A$4:$A$8</c:f>
              <c:strCache>
                <c:ptCount val="5"/>
                <c:pt idx="0">
                  <c:v>Visits</c:v>
                </c:pt>
                <c:pt idx="1">
                  <c:v>Product Views</c:v>
                </c:pt>
                <c:pt idx="2">
                  <c:v>Add to Cart</c:v>
                </c:pt>
                <c:pt idx="3">
                  <c:v>Checkout Started</c:v>
                </c:pt>
                <c:pt idx="4">
                  <c:v>Purchases</c:v>
                </c:pt>
              </c:strCache>
            </c:strRef>
          </c:cat>
          <c:val>
            <c:numRef>
              <c:f>Funnel!$B$4:$B$8</c:f>
              <c:numCache>
                <c:formatCode>#,##0</c:formatCode>
                <c:ptCount val="5"/>
                <c:pt idx="0">
                  <c:v>310627</c:v>
                </c:pt>
                <c:pt idx="1">
                  <c:v>180183</c:v>
                </c:pt>
                <c:pt idx="2">
                  <c:v>49166</c:v>
                </c:pt>
                <c:pt idx="3">
                  <c:v>26076</c:v>
                </c:pt>
                <c:pt idx="4">
                  <c:v>14597</c:v>
                </c:pt>
              </c:numCache>
            </c:numRef>
          </c:val>
        </c:ser>
        <c:gapWidth val="150"/>
        <c:overlap val="0"/>
        <c:axId val="24273990"/>
        <c:axId val="78533082"/>
      </c:barChart>
      <c:catAx>
        <c:axId val="2427399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33082"/>
        <c:crosses val="autoZero"/>
        <c:auto val="1"/>
        <c:lblAlgn val="ctr"/>
        <c:lblOffset val="100"/>
        <c:noMultiLvlLbl val="0"/>
      </c:catAx>
      <c:valAx>
        <c:axId val="78533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739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Funnel!D14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Funnel!$A$15:$A$18</c:f>
              <c:strCache>
                <c:ptCount val="4"/>
                <c:pt idx="0">
                  <c:v>Organic Search</c:v>
                </c:pt>
                <c:pt idx="1">
                  <c:v>Paid Ads</c:v>
                </c:pt>
                <c:pt idx="2">
                  <c:v>Email</c:v>
                </c:pt>
                <c:pt idx="3">
                  <c:v>Social</c:v>
                </c:pt>
              </c:strCache>
            </c:strRef>
          </c:cat>
          <c:val>
            <c:numRef>
              <c:f>Funnel!$D$15:$D$18</c:f>
              <c:numCache>
                <c:formatCode>0.0%</c:formatCode>
                <c:ptCount val="4"/>
                <c:pt idx="0">
                  <c:v>0.0598593665484705</c:v>
                </c:pt>
                <c:pt idx="1">
                  <c:v>0.0262990711531721</c:v>
                </c:pt>
                <c:pt idx="2">
                  <c:v>0.108977805084095</c:v>
                </c:pt>
                <c:pt idx="3">
                  <c:v>0.0151579277372835</c:v>
                </c:pt>
              </c:numCache>
            </c:numRef>
          </c:val>
        </c:ser>
        <c:gapWidth val="150"/>
        <c:overlap val="0"/>
        <c:axId val="3317019"/>
        <c:axId val="76061263"/>
      </c:barChart>
      <c:catAx>
        <c:axId val="33170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61263"/>
        <c:crosses val="autoZero"/>
        <c:auto val="1"/>
        <c:lblAlgn val="ctr"/>
        <c:lblOffset val="100"/>
        <c:noMultiLvlLbl val="0"/>
      </c:catAx>
      <c:valAx>
        <c:axId val="76061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7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255960</xdr:colOff>
      <xdr:row>15</xdr:row>
      <xdr:rowOff>72360</xdr:rowOff>
    </xdr:to>
    <xdr:graphicFrame>
      <xdr:nvGraphicFramePr>
        <xdr:cNvPr id="0" name="Chart 1"/>
        <xdr:cNvGraphicFramePr/>
      </xdr:nvGraphicFramePr>
      <xdr:xfrm>
        <a:off x="94924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50040</xdr:rowOff>
    </xdr:from>
    <xdr:to>
      <xdr:col>16</xdr:col>
      <xdr:colOff>255960</xdr:colOff>
      <xdr:row>31</xdr:row>
      <xdr:rowOff>112320</xdr:rowOff>
    </xdr:to>
    <xdr:graphicFrame>
      <xdr:nvGraphicFramePr>
        <xdr:cNvPr id="1" name="Chart 2"/>
        <xdr:cNvGraphicFramePr/>
      </xdr:nvGraphicFramePr>
      <xdr:xfrm>
        <a:off x="949248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f aca="false">SUM(Data!$D$2:$D$145)</f>
        <v>310627</v>
      </c>
      <c r="C4" s="5" t="n">
        <f aca="false">B4/$B$4</f>
        <v>1</v>
      </c>
      <c r="D4" s="5"/>
      <c r="E4" s="5"/>
    </row>
    <row r="5" customFormat="false" ht="15" hidden="false" customHeight="false" outlineLevel="0" collapsed="false">
      <c r="A5" s="3" t="s">
        <v>7</v>
      </c>
      <c r="B5" s="4" t="n">
        <f aca="false">SUM(Data!$E$2:$E$145)</f>
        <v>180183</v>
      </c>
      <c r="C5" s="5" t="n">
        <f aca="false">B5/$B$4</f>
        <v>0.58006226116854</v>
      </c>
      <c r="D5" s="5" t="n">
        <f aca="false">B5/B4</f>
        <v>0.58006226116854</v>
      </c>
      <c r="E5" s="5" t="n">
        <f aca="false">1-D5</f>
        <v>0.41993773883146</v>
      </c>
    </row>
    <row r="6" customFormat="false" ht="15" hidden="false" customHeight="false" outlineLevel="0" collapsed="false">
      <c r="A6" s="3" t="s">
        <v>8</v>
      </c>
      <c r="B6" s="4" t="n">
        <f aca="false">SUM(Data!$F$2:$F$145)</f>
        <v>49166</v>
      </c>
      <c r="C6" s="5" t="n">
        <f aca="false">B6/$B$4</f>
        <v>0.158279866206093</v>
      </c>
      <c r="D6" s="5" t="n">
        <f aca="false">B6/B5</f>
        <v>0.272867029630986</v>
      </c>
      <c r="E6" s="5" t="n">
        <f aca="false">1-D6</f>
        <v>0.727132970369014</v>
      </c>
    </row>
    <row r="7" customFormat="false" ht="15" hidden="false" customHeight="false" outlineLevel="0" collapsed="false">
      <c r="A7" s="3" t="s">
        <v>9</v>
      </c>
      <c r="B7" s="4" t="n">
        <f aca="false">SUM(Data!$G$2:$G$145)</f>
        <v>26076</v>
      </c>
      <c r="C7" s="5" t="n">
        <f aca="false">B7/$B$4</f>
        <v>0.0839463407881479</v>
      </c>
      <c r="D7" s="5" t="n">
        <f aca="false">B7/B6</f>
        <v>0.53036651344425</v>
      </c>
      <c r="E7" s="5" t="n">
        <f aca="false">1-D7</f>
        <v>0.46963348655575</v>
      </c>
    </row>
    <row r="8" customFormat="false" ht="15" hidden="false" customHeight="false" outlineLevel="0" collapsed="false">
      <c r="A8" s="3" t="s">
        <v>10</v>
      </c>
      <c r="B8" s="4" t="n">
        <f aca="false">SUM(Data!$H$2:$H$145)</f>
        <v>14597</v>
      </c>
      <c r="C8" s="5" t="n">
        <f aca="false">B8/$B$4</f>
        <v>0.0469920515602314</v>
      </c>
      <c r="D8" s="5" t="n">
        <f aca="false">B8/B7</f>
        <v>0.559786777113054</v>
      </c>
      <c r="E8" s="5" t="n">
        <f aca="false">1-D8</f>
        <v>0.440213222886946</v>
      </c>
    </row>
    <row r="9" customFormat="false" ht="15" hidden="false" customHeight="false" outlineLevel="0" collapsed="false">
      <c r="A9" s="3"/>
      <c r="B9" s="4"/>
      <c r="C9" s="5"/>
      <c r="D9" s="5"/>
      <c r="E9" s="5"/>
    </row>
    <row r="10" customFormat="false" ht="15" hidden="false" customHeight="false" outlineLevel="0" collapsed="false">
      <c r="A10" s="6" t="s">
        <v>11</v>
      </c>
      <c r="B10" s="7" t="n">
        <f aca="false">B8/B4</f>
        <v>0.0469920515602314</v>
      </c>
      <c r="C10" s="5"/>
      <c r="D10" s="5"/>
      <c r="E10" s="5"/>
    </row>
    <row r="11" customFormat="false" ht="15" hidden="false" customHeight="false" outlineLevel="0" collapsed="false">
      <c r="A11" s="6" t="s">
        <v>12</v>
      </c>
      <c r="B11" s="4" t="str">
        <f aca="false">INDEX(A5:A8,MATCH(MAX(E5:E8),E5:E8,0))</f>
        <v>Add to Cart</v>
      </c>
      <c r="C11" s="5"/>
      <c r="D11" s="5"/>
      <c r="E11" s="5"/>
    </row>
    <row r="13" customFormat="false" ht="15" hidden="false" customHeight="false" outlineLevel="0" collapsed="false">
      <c r="A13" s="8" t="s">
        <v>13</v>
      </c>
    </row>
    <row r="14" customFormat="false" ht="26.85" hidden="false" customHeight="false" outlineLevel="0" collapsed="false">
      <c r="A14" s="2" t="s">
        <v>14</v>
      </c>
      <c r="B14" s="2" t="s">
        <v>6</v>
      </c>
      <c r="C14" s="2" t="s">
        <v>10</v>
      </c>
      <c r="D14" s="2" t="s">
        <v>15</v>
      </c>
      <c r="E14" s="2" t="s">
        <v>16</v>
      </c>
      <c r="F14" s="2" t="s">
        <v>17</v>
      </c>
    </row>
    <row r="15" customFormat="false" ht="15" hidden="false" customHeight="false" outlineLevel="0" collapsed="false">
      <c r="A15" s="3" t="s">
        <v>18</v>
      </c>
      <c r="B15" s="4" t="n">
        <f aca="false">SUMIFS(Data!$D$2:$D$145,Data!$B$2:$B$145,A15)</f>
        <v>116473</v>
      </c>
      <c r="C15" s="4" t="n">
        <f aca="false">SUMIFS(Data!$H$2:$H$145,Data!$B$2:$B$145,A15)</f>
        <v>6972</v>
      </c>
      <c r="D15" s="5" t="n">
        <f aca="false">C15/B15</f>
        <v>0.0598593665484705</v>
      </c>
      <c r="E15" s="5" t="n">
        <f aca="false">SUMIFS(Data!$G$2:$G$145,Data!$B$2:$B$145,A15)/SUMIFS(Data!$F$2:$F$145,Data!$B$2:$B$145,A15)</f>
        <v>0.556230309118305</v>
      </c>
      <c r="F15" s="5" t="n">
        <f aca="false">C15/SUMIFS(Data!$G$2:$G$145,Data!$B$2:$B$145,A15)</f>
        <v>0.572319816122147</v>
      </c>
    </row>
    <row r="16" customFormat="false" ht="15" hidden="false" customHeight="false" outlineLevel="0" collapsed="false">
      <c r="A16" s="3" t="s">
        <v>19</v>
      </c>
      <c r="B16" s="4" t="n">
        <f aca="false">SUMIFS(Data!$D$2:$D$145,Data!$B$2:$B$145,A16)</f>
        <v>91296</v>
      </c>
      <c r="C16" s="4" t="n">
        <f aca="false">SUMIFS(Data!$H$2:$H$145,Data!$B$2:$B$145,A16)</f>
        <v>2401</v>
      </c>
      <c r="D16" s="5" t="n">
        <f aca="false">C16/B16</f>
        <v>0.0262990711531721</v>
      </c>
      <c r="E16" s="5" t="n">
        <f aca="false">SUMIFS(Data!$G$2:$G$145,Data!$B$2:$B$145,A16)/SUMIFS(Data!$F$2:$F$145,Data!$B$2:$B$145,A16)</f>
        <v>0.45358042461317</v>
      </c>
      <c r="F16" s="5" t="n">
        <f aca="false">C16/SUMIFS(Data!$G$2:$G$145,Data!$B$2:$B$145,A16)</f>
        <v>0.476199920666402</v>
      </c>
    </row>
    <row r="17" customFormat="false" ht="15" hidden="false" customHeight="false" outlineLevel="0" collapsed="false">
      <c r="A17" s="3" t="s">
        <v>20</v>
      </c>
      <c r="B17" s="4" t="n">
        <f aca="false">SUMIFS(Data!$D$2:$D$145,Data!$B$2:$B$145,A17)</f>
        <v>39063</v>
      </c>
      <c r="C17" s="4" t="n">
        <f aca="false">SUMIFS(Data!$H$2:$H$145,Data!$B$2:$B$145,A17)</f>
        <v>4257</v>
      </c>
      <c r="D17" s="5" t="n">
        <f aca="false">C17/B17</f>
        <v>0.108977805084095</v>
      </c>
      <c r="E17" s="5" t="n">
        <f aca="false">SUMIFS(Data!$G$2:$G$145,Data!$B$2:$B$145,A17)/SUMIFS(Data!$F$2:$F$145,Data!$B$2:$B$145,A17)</f>
        <v>0.626879788139601</v>
      </c>
      <c r="F17" s="5" t="n">
        <f aca="false">C17/SUMIFS(Data!$G$2:$G$145,Data!$B$2:$B$145,A17)</f>
        <v>0.642275196137598</v>
      </c>
    </row>
    <row r="18" customFormat="false" ht="15" hidden="false" customHeight="false" outlineLevel="0" collapsed="false">
      <c r="A18" s="3" t="s">
        <v>21</v>
      </c>
      <c r="B18" s="4" t="n">
        <f aca="false">SUMIFS(Data!$D$2:$D$145,Data!$B$2:$B$145,A18)</f>
        <v>63795</v>
      </c>
      <c r="C18" s="4" t="n">
        <f aca="false">SUMIFS(Data!$H$2:$H$145,Data!$B$2:$B$145,A18)</f>
        <v>967</v>
      </c>
      <c r="D18" s="5" t="n">
        <f aca="false">C18/B18</f>
        <v>0.0151579277372835</v>
      </c>
      <c r="E18" s="5" t="n">
        <f aca="false">SUMIFS(Data!$G$2:$G$145,Data!$B$2:$B$145,A18)/SUMIFS(Data!$F$2:$F$145,Data!$B$2:$B$145,A18)</f>
        <v>0.398852223816356</v>
      </c>
      <c r="F18" s="5" t="n">
        <f aca="false">C18/SUMIFS(Data!$G$2:$G$145,Data!$B$2:$B$145,A18)</f>
        <v>0.434802158273381</v>
      </c>
    </row>
    <row r="21" customFormat="false" ht="15" hidden="false" customHeight="false" outlineLevel="0" collapsed="false">
      <c r="A21" s="8" t="s">
        <v>22</v>
      </c>
    </row>
    <row r="22" customFormat="false" ht="26.85" hidden="false" customHeight="false" outlineLevel="0" collapsed="false">
      <c r="A22" s="2" t="s">
        <v>23</v>
      </c>
      <c r="B22" s="2" t="s">
        <v>6</v>
      </c>
      <c r="C22" s="2" t="s">
        <v>10</v>
      </c>
      <c r="D22" s="2" t="s">
        <v>15</v>
      </c>
      <c r="E22" s="2" t="s">
        <v>16</v>
      </c>
      <c r="F22" s="2" t="s">
        <v>17</v>
      </c>
    </row>
    <row r="23" customFormat="false" ht="15" hidden="false" customHeight="false" outlineLevel="0" collapsed="false">
      <c r="A23" s="3" t="s">
        <v>24</v>
      </c>
      <c r="B23" s="4" t="n">
        <f aca="false">SUMIFS(Data!$D$2:$D$145,Data!$C$2:$C$145,A23)</f>
        <v>108839</v>
      </c>
      <c r="C23" s="4" t="n">
        <f aca="false">SUMIFS(Data!$H$2:$H$145,Data!$C$2:$C$145,A23)</f>
        <v>6597</v>
      </c>
      <c r="D23" s="5" t="n">
        <f aca="false">C23/B23</f>
        <v>0.0606124642821048</v>
      </c>
      <c r="E23" s="5" t="n">
        <f aca="false">SUMIFS(Data!$G$2:$G$145,Data!$C$2:$C$145,A23)/SUMIFS(Data!$F$2:$F$145,Data!$C$2:$C$145,A23)</f>
        <v>0.551479158572459</v>
      </c>
      <c r="F23" s="5" t="n">
        <f aca="false">C23/SUMIFS(Data!$G$2:$G$145,Data!$C$2:$C$145,A23)</f>
        <v>0.663949275362319</v>
      </c>
    </row>
    <row r="24" customFormat="false" ht="15" hidden="false" customHeight="false" outlineLevel="0" collapsed="false">
      <c r="A24" s="3" t="s">
        <v>25</v>
      </c>
      <c r="B24" s="4" t="n">
        <f aca="false">SUMIFS(Data!$D$2:$D$145,Data!$C$2:$C$145,A24)</f>
        <v>171303</v>
      </c>
      <c r="C24" s="4" t="n">
        <f aca="false">SUMIFS(Data!$H$2:$H$145,Data!$C$2:$C$145,A24)</f>
        <v>6747</v>
      </c>
      <c r="D24" s="5" t="n">
        <f aca="false">C24/B24</f>
        <v>0.0393863505017425</v>
      </c>
      <c r="E24" s="5" t="n">
        <f aca="false">SUMIFS(Data!$G$2:$G$145,Data!$C$2:$C$145,A24)/SUMIFS(Data!$F$2:$F$145,Data!$C$2:$C$145,A24)</f>
        <v>0.522485384500075</v>
      </c>
      <c r="F24" s="5" t="n">
        <f aca="false">C24/SUMIFS(Data!$G$2:$G$145,Data!$C$2:$C$145,A24)</f>
        <v>0.483933438531057</v>
      </c>
    </row>
    <row r="25" customFormat="false" ht="15" hidden="false" customHeight="false" outlineLevel="0" collapsed="false">
      <c r="A25" s="3" t="s">
        <v>26</v>
      </c>
      <c r="B25" s="4" t="n">
        <f aca="false">SUMIFS(Data!$D$2:$D$145,Data!$C$2:$C$145,A25)</f>
        <v>30485</v>
      </c>
      <c r="C25" s="4" t="n">
        <f aca="false">SUMIFS(Data!$H$2:$H$145,Data!$C$2:$C$145,A25)</f>
        <v>1253</v>
      </c>
      <c r="D25" s="5" t="n">
        <f aca="false">C25/B25</f>
        <v>0.0411021814006889</v>
      </c>
      <c r="E25" s="5" t="n">
        <f aca="false">SUMIFS(Data!$G$2:$G$145,Data!$C$2:$C$145,A25)/SUMIFS(Data!$F$2:$F$145,Data!$C$2:$C$145,A25)</f>
        <v>0.492273236282195</v>
      </c>
      <c r="F25" s="5" t="n">
        <f aca="false">C25/SUMIFS(Data!$G$2:$G$145,Data!$C$2:$C$145,A25)</f>
        <v>0.570063694267516</v>
      </c>
    </row>
    <row r="28" customFormat="false" ht="15" hidden="false" customHeight="false" outlineLevel="0" collapsed="false">
      <c r="A28" s="8" t="s">
        <v>27</v>
      </c>
    </row>
    <row r="29" customFormat="false" ht="15" hidden="false" customHeight="false" outlineLevel="0" collapsed="false">
      <c r="A29" s="3" t="s">
        <v>28</v>
      </c>
      <c r="B29" s="9" t="n">
        <f aca="false">B8/B7</f>
        <v>0.559786777113054</v>
      </c>
    </row>
    <row r="30" customFormat="false" ht="15" hidden="false" customHeight="false" outlineLevel="0" collapsed="false">
      <c r="A30" s="3" t="s">
        <v>29</v>
      </c>
      <c r="B30" s="10" t="n">
        <f aca="false">Assumptions!B5</f>
        <v>0.05</v>
      </c>
    </row>
    <row r="31" customFormat="false" ht="15" hidden="false" customHeight="false" outlineLevel="0" collapsed="false">
      <c r="A31" s="3" t="s">
        <v>30</v>
      </c>
      <c r="B31" s="11" t="n">
        <f aca="false">B7*B30</f>
        <v>1303.8</v>
      </c>
    </row>
    <row r="32" customFormat="false" ht="15" hidden="false" customHeight="false" outlineLevel="0" collapsed="false">
      <c r="A32" s="3" t="s">
        <v>31</v>
      </c>
      <c r="B32" s="12" t="n">
        <f aca="false">B31*Assumptions!B4</f>
        <v>2346840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2" t="s">
        <v>35</v>
      </c>
    </row>
    <row r="4" customFormat="false" ht="15" hidden="false" customHeight="false" outlineLevel="0" collapsed="false">
      <c r="A4" s="3" t="s">
        <v>36</v>
      </c>
      <c r="B4" s="13" t="n">
        <v>1800</v>
      </c>
      <c r="C4" s="14" t="s">
        <v>37</v>
      </c>
    </row>
    <row r="5" customFormat="false" ht="15" hidden="false" customHeight="false" outlineLevel="0" collapsed="false">
      <c r="A5" s="3" t="s">
        <v>38</v>
      </c>
      <c r="B5" s="15" t="n">
        <v>0.05</v>
      </c>
      <c r="C5" s="14" t="s">
        <v>39</v>
      </c>
    </row>
    <row r="6" customFormat="false" ht="15" hidden="false" customHeight="false" outlineLevel="0" collapsed="false">
      <c r="A6" s="3" t="s">
        <v>40</v>
      </c>
      <c r="B6" s="16" t="s">
        <v>41</v>
      </c>
      <c r="C6" s="14" t="s">
        <v>42</v>
      </c>
    </row>
    <row r="8" customFormat="false" ht="15" hidden="false" customHeight="false" outlineLevel="0" collapsed="false">
      <c r="A8" s="1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26.85" hidden="false" customHeight="false" outlineLevel="0" collapsed="false">
      <c r="A1" s="2" t="s">
        <v>44</v>
      </c>
      <c r="B1" s="2" t="s">
        <v>14</v>
      </c>
      <c r="C1" s="2" t="s">
        <v>23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J1" s="6" t="s">
        <v>35</v>
      </c>
    </row>
    <row r="2" customFormat="false" ht="15" hidden="false" customHeight="false" outlineLevel="0" collapsed="false">
      <c r="A2" s="16" t="n">
        <v>1</v>
      </c>
      <c r="B2" s="17" t="s">
        <v>18</v>
      </c>
      <c r="C2" s="17" t="s">
        <v>24</v>
      </c>
      <c r="D2" s="16" t="n">
        <v>3270</v>
      </c>
      <c r="E2" s="16" t="n">
        <v>1931</v>
      </c>
      <c r="F2" s="16" t="n">
        <v>589</v>
      </c>
      <c r="G2" s="16" t="n">
        <v>330</v>
      </c>
      <c r="H2" s="16" t="n">
        <v>232</v>
      </c>
      <c r="J2" s="14" t="s">
        <v>45</v>
      </c>
    </row>
    <row r="3" customFormat="false" ht="15" hidden="false" customHeight="false" outlineLevel="0" collapsed="false">
      <c r="A3" s="16" t="n">
        <v>1</v>
      </c>
      <c r="B3" s="17" t="s">
        <v>18</v>
      </c>
      <c r="C3" s="17" t="s">
        <v>25</v>
      </c>
      <c r="D3" s="16" t="n">
        <v>5176</v>
      </c>
      <c r="E3" s="16" t="n">
        <v>3334</v>
      </c>
      <c r="F3" s="16" t="n">
        <v>942</v>
      </c>
      <c r="G3" s="16" t="n">
        <v>514</v>
      </c>
      <c r="H3" s="16" t="n">
        <v>238</v>
      </c>
    </row>
    <row r="4" customFormat="false" ht="15" hidden="false" customHeight="false" outlineLevel="0" collapsed="false">
      <c r="A4" s="16" t="n">
        <v>1</v>
      </c>
      <c r="B4" s="17" t="s">
        <v>18</v>
      </c>
      <c r="C4" s="17" t="s">
        <v>26</v>
      </c>
      <c r="D4" s="16" t="n">
        <v>857</v>
      </c>
      <c r="E4" s="16" t="n">
        <v>531</v>
      </c>
      <c r="F4" s="16" t="n">
        <v>141</v>
      </c>
      <c r="G4" s="16" t="n">
        <v>71</v>
      </c>
      <c r="H4" s="16" t="n">
        <v>42</v>
      </c>
    </row>
    <row r="5" customFormat="false" ht="15" hidden="false" customHeight="false" outlineLevel="0" collapsed="false">
      <c r="A5" s="16" t="n">
        <v>1</v>
      </c>
      <c r="B5" s="17" t="s">
        <v>19</v>
      </c>
      <c r="C5" s="17" t="s">
        <v>24</v>
      </c>
      <c r="D5" s="16" t="n">
        <v>2496</v>
      </c>
      <c r="E5" s="16" t="n">
        <v>1334</v>
      </c>
      <c r="F5" s="16" t="n">
        <v>312</v>
      </c>
      <c r="G5" s="16" t="n">
        <v>151</v>
      </c>
      <c r="H5" s="16" t="n">
        <v>80</v>
      </c>
    </row>
    <row r="6" customFormat="false" ht="15" hidden="false" customHeight="false" outlineLevel="0" collapsed="false">
      <c r="A6" s="16" t="n">
        <v>1</v>
      </c>
      <c r="B6" s="17" t="s">
        <v>19</v>
      </c>
      <c r="C6" s="17" t="s">
        <v>25</v>
      </c>
      <c r="D6" s="16" t="n">
        <v>4126</v>
      </c>
      <c r="E6" s="16" t="n">
        <v>2314</v>
      </c>
      <c r="F6" s="16" t="n">
        <v>497</v>
      </c>
      <c r="G6" s="16" t="n">
        <v>215</v>
      </c>
      <c r="H6" s="16" t="n">
        <v>95</v>
      </c>
    </row>
    <row r="7" customFormat="false" ht="15" hidden="false" customHeight="false" outlineLevel="0" collapsed="false">
      <c r="A7" s="16" t="n">
        <v>1</v>
      </c>
      <c r="B7" s="17" t="s">
        <v>19</v>
      </c>
      <c r="C7" s="17" t="s">
        <v>26</v>
      </c>
      <c r="D7" s="16" t="n">
        <v>683</v>
      </c>
      <c r="E7" s="16" t="n">
        <v>360</v>
      </c>
      <c r="F7" s="16" t="n">
        <v>70</v>
      </c>
      <c r="G7" s="16" t="n">
        <v>30</v>
      </c>
      <c r="H7" s="16" t="n">
        <v>15</v>
      </c>
    </row>
    <row r="8" customFormat="false" ht="15" hidden="false" customHeight="false" outlineLevel="0" collapsed="false">
      <c r="A8" s="16" t="n">
        <v>1</v>
      </c>
      <c r="B8" s="17" t="s">
        <v>20</v>
      </c>
      <c r="C8" s="17" t="s">
        <v>24</v>
      </c>
      <c r="D8" s="16" t="n">
        <v>1125</v>
      </c>
      <c r="E8" s="16" t="n">
        <v>805</v>
      </c>
      <c r="F8" s="16" t="n">
        <v>322</v>
      </c>
      <c r="G8" s="16" t="n">
        <v>219</v>
      </c>
      <c r="H8" s="16" t="n">
        <v>165</v>
      </c>
    </row>
    <row r="9" customFormat="false" ht="15" hidden="false" customHeight="false" outlineLevel="0" collapsed="false">
      <c r="A9" s="16" t="n">
        <v>1</v>
      </c>
      <c r="B9" s="17" t="s">
        <v>20</v>
      </c>
      <c r="C9" s="17" t="s">
        <v>25</v>
      </c>
      <c r="D9" s="16" t="n">
        <v>1683</v>
      </c>
      <c r="E9" s="16" t="n">
        <v>1216</v>
      </c>
      <c r="F9" s="16" t="n">
        <v>469</v>
      </c>
      <c r="G9" s="16" t="n">
        <v>301</v>
      </c>
      <c r="H9" s="16" t="n">
        <v>170</v>
      </c>
    </row>
    <row r="10" customFormat="false" ht="15" hidden="false" customHeight="false" outlineLevel="0" collapsed="false">
      <c r="A10" s="16" t="n">
        <v>1</v>
      </c>
      <c r="B10" s="17" t="s">
        <v>20</v>
      </c>
      <c r="C10" s="17" t="s">
        <v>26</v>
      </c>
      <c r="D10" s="16" t="n">
        <v>315</v>
      </c>
      <c r="E10" s="16" t="n">
        <v>210</v>
      </c>
      <c r="F10" s="16" t="n">
        <v>72</v>
      </c>
      <c r="G10" s="16" t="n">
        <v>41</v>
      </c>
      <c r="H10" s="16" t="n">
        <v>25</v>
      </c>
    </row>
    <row r="11" customFormat="false" ht="15" hidden="false" customHeight="false" outlineLevel="0" collapsed="false">
      <c r="A11" s="16" t="n">
        <v>1</v>
      </c>
      <c r="B11" s="17" t="s">
        <v>21</v>
      </c>
      <c r="C11" s="17" t="s">
        <v>24</v>
      </c>
      <c r="D11" s="16" t="n">
        <v>1673</v>
      </c>
      <c r="E11" s="16" t="n">
        <v>770</v>
      </c>
      <c r="F11" s="16" t="n">
        <v>141</v>
      </c>
      <c r="G11" s="16" t="n">
        <v>60</v>
      </c>
      <c r="H11" s="16" t="n">
        <v>31</v>
      </c>
    </row>
    <row r="12" customFormat="false" ht="15" hidden="false" customHeight="false" outlineLevel="0" collapsed="false">
      <c r="A12" s="16" t="n">
        <v>1</v>
      </c>
      <c r="B12" s="17" t="s">
        <v>21</v>
      </c>
      <c r="C12" s="17" t="s">
        <v>25</v>
      </c>
      <c r="D12" s="16" t="n">
        <v>2705</v>
      </c>
      <c r="E12" s="16" t="n">
        <v>1260</v>
      </c>
      <c r="F12" s="16" t="n">
        <v>219</v>
      </c>
      <c r="G12" s="16" t="n">
        <v>91</v>
      </c>
      <c r="H12" s="16" t="n">
        <v>35</v>
      </c>
    </row>
    <row r="13" customFormat="false" ht="15" hidden="false" customHeight="false" outlineLevel="0" collapsed="false">
      <c r="A13" s="16" t="n">
        <v>1</v>
      </c>
      <c r="B13" s="17" t="s">
        <v>21</v>
      </c>
      <c r="C13" s="17" t="s">
        <v>26</v>
      </c>
      <c r="D13" s="16" t="n">
        <v>516</v>
      </c>
      <c r="E13" s="16" t="n">
        <v>239</v>
      </c>
      <c r="F13" s="16" t="n">
        <v>42</v>
      </c>
      <c r="G13" s="16" t="n">
        <v>15</v>
      </c>
      <c r="H13" s="16" t="n">
        <v>6</v>
      </c>
    </row>
    <row r="14" customFormat="false" ht="15" hidden="false" customHeight="false" outlineLevel="0" collapsed="false">
      <c r="A14" s="16" t="n">
        <v>2</v>
      </c>
      <c r="B14" s="17" t="s">
        <v>18</v>
      </c>
      <c r="C14" s="17" t="s">
        <v>24</v>
      </c>
      <c r="D14" s="16" t="n">
        <v>3527</v>
      </c>
      <c r="E14" s="16" t="n">
        <v>2217</v>
      </c>
      <c r="F14" s="16" t="n">
        <v>703</v>
      </c>
      <c r="G14" s="16" t="n">
        <v>413</v>
      </c>
      <c r="H14" s="16" t="n">
        <v>295</v>
      </c>
    </row>
    <row r="15" customFormat="false" ht="15" hidden="false" customHeight="false" outlineLevel="0" collapsed="false">
      <c r="A15" s="16" t="n">
        <v>2</v>
      </c>
      <c r="B15" s="17" t="s">
        <v>18</v>
      </c>
      <c r="C15" s="17" t="s">
        <v>25</v>
      </c>
      <c r="D15" s="16" t="n">
        <v>5327</v>
      </c>
      <c r="E15" s="16" t="n">
        <v>3213</v>
      </c>
      <c r="F15" s="16" t="n">
        <v>900</v>
      </c>
      <c r="G15" s="16" t="n">
        <v>485</v>
      </c>
      <c r="H15" s="16" t="n">
        <v>232</v>
      </c>
    </row>
    <row r="16" customFormat="false" ht="15" hidden="false" customHeight="false" outlineLevel="0" collapsed="false">
      <c r="A16" s="16" t="n">
        <v>2</v>
      </c>
      <c r="B16" s="17" t="s">
        <v>18</v>
      </c>
      <c r="C16" s="17" t="s">
        <v>26</v>
      </c>
      <c r="D16" s="16" t="n">
        <v>864</v>
      </c>
      <c r="E16" s="16" t="n">
        <v>559</v>
      </c>
      <c r="F16" s="16" t="n">
        <v>167</v>
      </c>
      <c r="G16" s="16" t="n">
        <v>85</v>
      </c>
      <c r="H16" s="16" t="n">
        <v>51</v>
      </c>
    </row>
    <row r="17" customFormat="false" ht="15" hidden="false" customHeight="false" outlineLevel="0" collapsed="false">
      <c r="A17" s="16" t="n">
        <v>2</v>
      </c>
      <c r="B17" s="17" t="s">
        <v>19</v>
      </c>
      <c r="C17" s="17" t="s">
        <v>24</v>
      </c>
      <c r="D17" s="16" t="n">
        <v>2446</v>
      </c>
      <c r="E17" s="16" t="n">
        <v>1401</v>
      </c>
      <c r="F17" s="16" t="n">
        <v>321</v>
      </c>
      <c r="G17" s="16" t="n">
        <v>148</v>
      </c>
      <c r="H17" s="16" t="n">
        <v>81</v>
      </c>
    </row>
    <row r="18" customFormat="false" ht="15" hidden="false" customHeight="false" outlineLevel="0" collapsed="false">
      <c r="A18" s="16" t="n">
        <v>2</v>
      </c>
      <c r="B18" s="17" t="s">
        <v>19</v>
      </c>
      <c r="C18" s="17" t="s">
        <v>25</v>
      </c>
      <c r="D18" s="16" t="n">
        <v>3975</v>
      </c>
      <c r="E18" s="16" t="n">
        <v>2134</v>
      </c>
      <c r="F18" s="16" t="n">
        <v>475</v>
      </c>
      <c r="G18" s="16" t="n">
        <v>222</v>
      </c>
      <c r="H18" s="16" t="n">
        <v>91</v>
      </c>
    </row>
    <row r="19" customFormat="false" ht="15" hidden="false" customHeight="false" outlineLevel="0" collapsed="false">
      <c r="A19" s="16" t="n">
        <v>2</v>
      </c>
      <c r="B19" s="17" t="s">
        <v>19</v>
      </c>
      <c r="C19" s="17" t="s">
        <v>26</v>
      </c>
      <c r="D19" s="16" t="n">
        <v>673</v>
      </c>
      <c r="E19" s="16" t="n">
        <v>388</v>
      </c>
      <c r="F19" s="16" t="n">
        <v>81</v>
      </c>
      <c r="G19" s="16" t="n">
        <v>33</v>
      </c>
      <c r="H19" s="16" t="n">
        <v>15</v>
      </c>
    </row>
    <row r="20" customFormat="false" ht="15" hidden="false" customHeight="false" outlineLevel="0" collapsed="false">
      <c r="A20" s="16" t="n">
        <v>2</v>
      </c>
      <c r="B20" s="17" t="s">
        <v>20</v>
      </c>
      <c r="C20" s="17" t="s">
        <v>24</v>
      </c>
      <c r="D20" s="16" t="n">
        <v>987</v>
      </c>
      <c r="E20" s="16" t="n">
        <v>699</v>
      </c>
      <c r="F20" s="16" t="n">
        <v>290</v>
      </c>
      <c r="G20" s="16" t="n">
        <v>187</v>
      </c>
      <c r="H20" s="16" t="n">
        <v>135</v>
      </c>
    </row>
    <row r="21" customFormat="false" ht="15" hidden="false" customHeight="false" outlineLevel="0" collapsed="false">
      <c r="A21" s="16" t="n">
        <v>2</v>
      </c>
      <c r="B21" s="17" t="s">
        <v>20</v>
      </c>
      <c r="C21" s="17" t="s">
        <v>25</v>
      </c>
      <c r="D21" s="16" t="n">
        <v>1643</v>
      </c>
      <c r="E21" s="16" t="n">
        <v>1207</v>
      </c>
      <c r="F21" s="16" t="n">
        <v>460</v>
      </c>
      <c r="G21" s="16" t="n">
        <v>298</v>
      </c>
      <c r="H21" s="16" t="n">
        <v>175</v>
      </c>
    </row>
    <row r="22" customFormat="false" ht="15" hidden="false" customHeight="false" outlineLevel="0" collapsed="false">
      <c r="A22" s="16" t="n">
        <v>2</v>
      </c>
      <c r="B22" s="17" t="s">
        <v>20</v>
      </c>
      <c r="C22" s="17" t="s">
        <v>26</v>
      </c>
      <c r="D22" s="16" t="n">
        <v>276</v>
      </c>
      <c r="E22" s="16" t="n">
        <v>197</v>
      </c>
      <c r="F22" s="16" t="n">
        <v>72</v>
      </c>
      <c r="G22" s="16" t="n">
        <v>42</v>
      </c>
      <c r="H22" s="16" t="n">
        <v>27</v>
      </c>
    </row>
    <row r="23" customFormat="false" ht="15" hidden="false" customHeight="false" outlineLevel="0" collapsed="false">
      <c r="A23" s="16" t="n">
        <v>2</v>
      </c>
      <c r="B23" s="17" t="s">
        <v>21</v>
      </c>
      <c r="C23" s="17" t="s">
        <v>24</v>
      </c>
      <c r="D23" s="16" t="n">
        <v>1835</v>
      </c>
      <c r="E23" s="16" t="n">
        <v>846</v>
      </c>
      <c r="F23" s="16" t="n">
        <v>158</v>
      </c>
      <c r="G23" s="16" t="n">
        <v>66</v>
      </c>
      <c r="H23" s="16" t="n">
        <v>37</v>
      </c>
    </row>
    <row r="24" customFormat="false" ht="15" hidden="false" customHeight="false" outlineLevel="0" collapsed="false">
      <c r="A24" s="16" t="n">
        <v>2</v>
      </c>
      <c r="B24" s="17" t="s">
        <v>21</v>
      </c>
      <c r="C24" s="17" t="s">
        <v>25</v>
      </c>
      <c r="D24" s="16" t="n">
        <v>3015</v>
      </c>
      <c r="E24" s="16" t="n">
        <v>1412</v>
      </c>
      <c r="F24" s="16" t="n">
        <v>254</v>
      </c>
      <c r="G24" s="16" t="n">
        <v>98</v>
      </c>
      <c r="H24" s="16" t="n">
        <v>39</v>
      </c>
    </row>
    <row r="25" customFormat="false" ht="15" hidden="false" customHeight="false" outlineLevel="0" collapsed="false">
      <c r="A25" s="16" t="n">
        <v>2</v>
      </c>
      <c r="B25" s="17" t="s">
        <v>21</v>
      </c>
      <c r="C25" s="17" t="s">
        <v>26</v>
      </c>
      <c r="D25" s="16" t="n">
        <v>547</v>
      </c>
      <c r="E25" s="16" t="n">
        <v>257</v>
      </c>
      <c r="F25" s="16" t="n">
        <v>44</v>
      </c>
      <c r="G25" s="16" t="n">
        <v>16</v>
      </c>
      <c r="H25" s="16" t="n">
        <v>6</v>
      </c>
    </row>
    <row r="26" customFormat="false" ht="15" hidden="false" customHeight="false" outlineLevel="0" collapsed="false">
      <c r="A26" s="16" t="n">
        <v>3</v>
      </c>
      <c r="B26" s="17" t="s">
        <v>18</v>
      </c>
      <c r="C26" s="17" t="s">
        <v>24</v>
      </c>
      <c r="D26" s="16" t="n">
        <v>3414</v>
      </c>
      <c r="E26" s="16" t="n">
        <v>2125</v>
      </c>
      <c r="F26" s="16" t="n">
        <v>695</v>
      </c>
      <c r="G26" s="16" t="n">
        <v>402</v>
      </c>
      <c r="H26" s="16" t="n">
        <v>254</v>
      </c>
    </row>
    <row r="27" customFormat="false" ht="15" hidden="false" customHeight="false" outlineLevel="0" collapsed="false">
      <c r="A27" s="16" t="n">
        <v>3</v>
      </c>
      <c r="B27" s="17" t="s">
        <v>18</v>
      </c>
      <c r="C27" s="17" t="s">
        <v>25</v>
      </c>
      <c r="D27" s="16" t="n">
        <v>4919</v>
      </c>
      <c r="E27" s="16" t="n">
        <v>2903</v>
      </c>
      <c r="F27" s="16" t="n">
        <v>923</v>
      </c>
      <c r="G27" s="16" t="n">
        <v>526</v>
      </c>
      <c r="H27" s="16" t="n">
        <v>273</v>
      </c>
    </row>
    <row r="28" customFormat="false" ht="15" hidden="false" customHeight="false" outlineLevel="0" collapsed="false">
      <c r="A28" s="16" t="n">
        <v>3</v>
      </c>
      <c r="B28" s="17" t="s">
        <v>18</v>
      </c>
      <c r="C28" s="17" t="s">
        <v>26</v>
      </c>
      <c r="D28" s="16" t="n">
        <v>891</v>
      </c>
      <c r="E28" s="16" t="n">
        <v>527</v>
      </c>
      <c r="F28" s="16" t="n">
        <v>158</v>
      </c>
      <c r="G28" s="16" t="n">
        <v>86</v>
      </c>
      <c r="H28" s="16" t="n">
        <v>47</v>
      </c>
    </row>
    <row r="29" customFormat="false" ht="15" hidden="false" customHeight="false" outlineLevel="0" collapsed="false">
      <c r="A29" s="16" t="n">
        <v>3</v>
      </c>
      <c r="B29" s="17" t="s">
        <v>19</v>
      </c>
      <c r="C29" s="17" t="s">
        <v>24</v>
      </c>
      <c r="D29" s="16" t="n">
        <v>2516</v>
      </c>
      <c r="E29" s="16" t="n">
        <v>1324</v>
      </c>
      <c r="F29" s="16" t="n">
        <v>317</v>
      </c>
      <c r="G29" s="16" t="n">
        <v>153</v>
      </c>
      <c r="H29" s="16" t="n">
        <v>82</v>
      </c>
    </row>
    <row r="30" customFormat="false" ht="15" hidden="false" customHeight="false" outlineLevel="0" collapsed="false">
      <c r="A30" s="16" t="n">
        <v>3</v>
      </c>
      <c r="B30" s="17" t="s">
        <v>19</v>
      </c>
      <c r="C30" s="17" t="s">
        <v>25</v>
      </c>
      <c r="D30" s="16" t="n">
        <v>3945</v>
      </c>
      <c r="E30" s="16" t="n">
        <v>2180</v>
      </c>
      <c r="F30" s="16" t="n">
        <v>463</v>
      </c>
      <c r="G30" s="16" t="n">
        <v>216</v>
      </c>
      <c r="H30" s="16" t="n">
        <v>88</v>
      </c>
    </row>
    <row r="31" customFormat="false" ht="15" hidden="false" customHeight="false" outlineLevel="0" collapsed="false">
      <c r="A31" s="16" t="n">
        <v>3</v>
      </c>
      <c r="B31" s="17" t="s">
        <v>19</v>
      </c>
      <c r="C31" s="17" t="s">
        <v>26</v>
      </c>
      <c r="D31" s="16" t="n">
        <v>679</v>
      </c>
      <c r="E31" s="16" t="n">
        <v>374</v>
      </c>
      <c r="F31" s="16" t="n">
        <v>80</v>
      </c>
      <c r="G31" s="16" t="n">
        <v>33</v>
      </c>
      <c r="H31" s="16" t="n">
        <v>15</v>
      </c>
    </row>
    <row r="32" customFormat="false" ht="15" hidden="false" customHeight="false" outlineLevel="0" collapsed="false">
      <c r="A32" s="16" t="n">
        <v>3</v>
      </c>
      <c r="B32" s="17" t="s">
        <v>20</v>
      </c>
      <c r="C32" s="17" t="s">
        <v>24</v>
      </c>
      <c r="D32" s="16" t="n">
        <v>1188</v>
      </c>
      <c r="E32" s="16" t="n">
        <v>844</v>
      </c>
      <c r="F32" s="16" t="n">
        <v>333</v>
      </c>
      <c r="G32" s="16" t="n">
        <v>217</v>
      </c>
      <c r="H32" s="16" t="n">
        <v>158</v>
      </c>
    </row>
    <row r="33" customFormat="false" ht="15" hidden="false" customHeight="false" outlineLevel="0" collapsed="false">
      <c r="A33" s="16" t="n">
        <v>3</v>
      </c>
      <c r="B33" s="17" t="s">
        <v>20</v>
      </c>
      <c r="C33" s="17" t="s">
        <v>25</v>
      </c>
      <c r="D33" s="16" t="n">
        <v>1605</v>
      </c>
      <c r="E33" s="16" t="n">
        <v>1105</v>
      </c>
      <c r="F33" s="16" t="n">
        <v>425</v>
      </c>
      <c r="G33" s="16" t="n">
        <v>256</v>
      </c>
      <c r="H33" s="16" t="n">
        <v>137</v>
      </c>
    </row>
    <row r="34" customFormat="false" ht="15" hidden="false" customHeight="false" outlineLevel="0" collapsed="false">
      <c r="A34" s="16" t="n">
        <v>3</v>
      </c>
      <c r="B34" s="17" t="s">
        <v>20</v>
      </c>
      <c r="C34" s="17" t="s">
        <v>26</v>
      </c>
      <c r="D34" s="16" t="n">
        <v>282</v>
      </c>
      <c r="E34" s="16" t="n">
        <v>199</v>
      </c>
      <c r="F34" s="16" t="n">
        <v>69</v>
      </c>
      <c r="G34" s="16" t="n">
        <v>42</v>
      </c>
      <c r="H34" s="16" t="n">
        <v>29</v>
      </c>
    </row>
    <row r="35" customFormat="false" ht="15" hidden="false" customHeight="false" outlineLevel="0" collapsed="false">
      <c r="A35" s="16" t="n">
        <v>3</v>
      </c>
      <c r="B35" s="17" t="s">
        <v>21</v>
      </c>
      <c r="C35" s="17" t="s">
        <v>24</v>
      </c>
      <c r="D35" s="16" t="n">
        <v>1647</v>
      </c>
      <c r="E35" s="16" t="n">
        <v>769</v>
      </c>
      <c r="F35" s="16" t="n">
        <v>148</v>
      </c>
      <c r="G35" s="16" t="n">
        <v>60</v>
      </c>
      <c r="H35" s="16" t="n">
        <v>30</v>
      </c>
    </row>
    <row r="36" customFormat="false" ht="15" hidden="false" customHeight="false" outlineLevel="0" collapsed="false">
      <c r="A36" s="16" t="n">
        <v>3</v>
      </c>
      <c r="B36" s="17" t="s">
        <v>21</v>
      </c>
      <c r="C36" s="17" t="s">
        <v>25</v>
      </c>
      <c r="D36" s="16" t="n">
        <v>3079</v>
      </c>
      <c r="E36" s="16" t="n">
        <v>1488</v>
      </c>
      <c r="F36" s="16" t="n">
        <v>266</v>
      </c>
      <c r="G36" s="16" t="n">
        <v>109</v>
      </c>
      <c r="H36" s="16" t="n">
        <v>43</v>
      </c>
    </row>
    <row r="37" customFormat="false" ht="15" hidden="false" customHeight="false" outlineLevel="0" collapsed="false">
      <c r="A37" s="16" t="n">
        <v>3</v>
      </c>
      <c r="B37" s="17" t="s">
        <v>21</v>
      </c>
      <c r="C37" s="17" t="s">
        <v>26</v>
      </c>
      <c r="D37" s="16" t="n">
        <v>483</v>
      </c>
      <c r="E37" s="16" t="n">
        <v>222</v>
      </c>
      <c r="F37" s="16" t="n">
        <v>37</v>
      </c>
      <c r="G37" s="16" t="n">
        <v>13</v>
      </c>
      <c r="H37" s="16" t="n">
        <v>5</v>
      </c>
    </row>
    <row r="38" customFormat="false" ht="15" hidden="false" customHeight="false" outlineLevel="0" collapsed="false">
      <c r="A38" s="16" t="n">
        <v>4</v>
      </c>
      <c r="B38" s="17" t="s">
        <v>18</v>
      </c>
      <c r="C38" s="17" t="s">
        <v>24</v>
      </c>
      <c r="D38" s="16" t="n">
        <v>3426</v>
      </c>
      <c r="E38" s="16" t="n">
        <v>2160</v>
      </c>
      <c r="F38" s="16" t="n">
        <v>726</v>
      </c>
      <c r="G38" s="16" t="n">
        <v>402</v>
      </c>
      <c r="H38" s="16" t="n">
        <v>270</v>
      </c>
    </row>
    <row r="39" customFormat="false" ht="15" hidden="false" customHeight="false" outlineLevel="0" collapsed="false">
      <c r="A39" s="16" t="n">
        <v>4</v>
      </c>
      <c r="B39" s="17" t="s">
        <v>18</v>
      </c>
      <c r="C39" s="17" t="s">
        <v>25</v>
      </c>
      <c r="D39" s="16" t="n">
        <v>4982</v>
      </c>
      <c r="E39" s="16" t="n">
        <v>3200</v>
      </c>
      <c r="F39" s="16" t="n">
        <v>926</v>
      </c>
      <c r="G39" s="16" t="n">
        <v>493</v>
      </c>
      <c r="H39" s="16" t="n">
        <v>242</v>
      </c>
    </row>
    <row r="40" customFormat="false" ht="15" hidden="false" customHeight="false" outlineLevel="0" collapsed="false">
      <c r="A40" s="16" t="n">
        <v>4</v>
      </c>
      <c r="B40" s="17" t="s">
        <v>18</v>
      </c>
      <c r="C40" s="17" t="s">
        <v>26</v>
      </c>
      <c r="D40" s="16" t="n">
        <v>921</v>
      </c>
      <c r="E40" s="16" t="n">
        <v>558</v>
      </c>
      <c r="F40" s="16" t="n">
        <v>153</v>
      </c>
      <c r="G40" s="16" t="n">
        <v>83</v>
      </c>
      <c r="H40" s="16" t="n">
        <v>48</v>
      </c>
    </row>
    <row r="41" customFormat="false" ht="15" hidden="false" customHeight="false" outlineLevel="0" collapsed="false">
      <c r="A41" s="16" t="n">
        <v>4</v>
      </c>
      <c r="B41" s="17" t="s">
        <v>19</v>
      </c>
      <c r="C41" s="17" t="s">
        <v>24</v>
      </c>
      <c r="D41" s="16" t="n">
        <v>2732</v>
      </c>
      <c r="E41" s="16" t="n">
        <v>1510</v>
      </c>
      <c r="F41" s="16" t="n">
        <v>326</v>
      </c>
      <c r="G41" s="16" t="n">
        <v>161</v>
      </c>
      <c r="H41" s="16" t="n">
        <v>96</v>
      </c>
    </row>
    <row r="42" customFormat="false" ht="15" hidden="false" customHeight="false" outlineLevel="0" collapsed="false">
      <c r="A42" s="16" t="n">
        <v>4</v>
      </c>
      <c r="B42" s="17" t="s">
        <v>19</v>
      </c>
      <c r="C42" s="17" t="s">
        <v>25</v>
      </c>
      <c r="D42" s="16" t="n">
        <v>4379</v>
      </c>
      <c r="E42" s="16" t="n">
        <v>2511</v>
      </c>
      <c r="F42" s="16" t="n">
        <v>579</v>
      </c>
      <c r="G42" s="16" t="n">
        <v>251</v>
      </c>
      <c r="H42" s="16" t="n">
        <v>104</v>
      </c>
    </row>
    <row r="43" customFormat="false" ht="15" hidden="false" customHeight="false" outlineLevel="0" collapsed="false">
      <c r="A43" s="16" t="n">
        <v>4</v>
      </c>
      <c r="B43" s="17" t="s">
        <v>19</v>
      </c>
      <c r="C43" s="17" t="s">
        <v>26</v>
      </c>
      <c r="D43" s="16" t="n">
        <v>686</v>
      </c>
      <c r="E43" s="16" t="n">
        <v>373</v>
      </c>
      <c r="F43" s="16" t="n">
        <v>73</v>
      </c>
      <c r="G43" s="16" t="n">
        <v>30</v>
      </c>
      <c r="H43" s="16" t="n">
        <v>15</v>
      </c>
    </row>
    <row r="44" customFormat="false" ht="15" hidden="false" customHeight="false" outlineLevel="0" collapsed="false">
      <c r="A44" s="16" t="n">
        <v>4</v>
      </c>
      <c r="B44" s="17" t="s">
        <v>20</v>
      </c>
      <c r="C44" s="17" t="s">
        <v>24</v>
      </c>
      <c r="D44" s="16" t="n">
        <v>1040</v>
      </c>
      <c r="E44" s="16" t="n">
        <v>748</v>
      </c>
      <c r="F44" s="16" t="n">
        <v>296</v>
      </c>
      <c r="G44" s="16" t="n">
        <v>191</v>
      </c>
      <c r="H44" s="16" t="n">
        <v>156</v>
      </c>
    </row>
    <row r="45" customFormat="false" ht="15" hidden="false" customHeight="false" outlineLevel="0" collapsed="false">
      <c r="A45" s="16" t="n">
        <v>4</v>
      </c>
      <c r="B45" s="17" t="s">
        <v>20</v>
      </c>
      <c r="C45" s="17" t="s">
        <v>25</v>
      </c>
      <c r="D45" s="16" t="n">
        <v>1886</v>
      </c>
      <c r="E45" s="16" t="n">
        <v>1327</v>
      </c>
      <c r="F45" s="16" t="n">
        <v>519</v>
      </c>
      <c r="G45" s="16" t="n">
        <v>310</v>
      </c>
      <c r="H45" s="16" t="n">
        <v>168</v>
      </c>
    </row>
    <row r="46" customFormat="false" ht="15" hidden="false" customHeight="false" outlineLevel="0" collapsed="false">
      <c r="A46" s="16" t="n">
        <v>4</v>
      </c>
      <c r="B46" s="17" t="s">
        <v>20</v>
      </c>
      <c r="C46" s="17" t="s">
        <v>26</v>
      </c>
      <c r="D46" s="16" t="n">
        <v>341</v>
      </c>
      <c r="E46" s="16" t="n">
        <v>240</v>
      </c>
      <c r="F46" s="16" t="n">
        <v>87</v>
      </c>
      <c r="G46" s="16" t="n">
        <v>52</v>
      </c>
      <c r="H46" s="16" t="n">
        <v>32</v>
      </c>
    </row>
    <row r="47" customFormat="false" ht="15" hidden="false" customHeight="false" outlineLevel="0" collapsed="false">
      <c r="A47" s="16" t="n">
        <v>4</v>
      </c>
      <c r="B47" s="17" t="s">
        <v>21</v>
      </c>
      <c r="C47" s="17" t="s">
        <v>24</v>
      </c>
      <c r="D47" s="16" t="n">
        <v>1850</v>
      </c>
      <c r="E47" s="16" t="n">
        <v>888</v>
      </c>
      <c r="F47" s="16" t="n">
        <v>176</v>
      </c>
      <c r="G47" s="16" t="n">
        <v>71</v>
      </c>
      <c r="H47" s="16" t="n">
        <v>39</v>
      </c>
    </row>
    <row r="48" customFormat="false" ht="15" hidden="false" customHeight="false" outlineLevel="0" collapsed="false">
      <c r="A48" s="16" t="n">
        <v>4</v>
      </c>
      <c r="B48" s="17" t="s">
        <v>21</v>
      </c>
      <c r="C48" s="17" t="s">
        <v>25</v>
      </c>
      <c r="D48" s="16" t="n">
        <v>2619</v>
      </c>
      <c r="E48" s="16" t="n">
        <v>1217</v>
      </c>
      <c r="F48" s="16" t="n">
        <v>221</v>
      </c>
      <c r="G48" s="16" t="n">
        <v>89</v>
      </c>
      <c r="H48" s="16" t="n">
        <v>32</v>
      </c>
    </row>
    <row r="49" customFormat="false" ht="15" hidden="false" customHeight="false" outlineLevel="0" collapsed="false">
      <c r="A49" s="16" t="n">
        <v>4</v>
      </c>
      <c r="B49" s="17" t="s">
        <v>21</v>
      </c>
      <c r="C49" s="17" t="s">
        <v>26</v>
      </c>
      <c r="D49" s="16" t="n">
        <v>480</v>
      </c>
      <c r="E49" s="16" t="n">
        <v>239</v>
      </c>
      <c r="F49" s="16" t="n">
        <v>39</v>
      </c>
      <c r="G49" s="16" t="n">
        <v>14</v>
      </c>
      <c r="H49" s="16" t="n">
        <v>6</v>
      </c>
    </row>
    <row r="50" customFormat="false" ht="15" hidden="false" customHeight="false" outlineLevel="0" collapsed="false">
      <c r="A50" s="16" t="n">
        <v>5</v>
      </c>
      <c r="B50" s="17" t="s">
        <v>18</v>
      </c>
      <c r="C50" s="17" t="s">
        <v>24</v>
      </c>
      <c r="D50" s="16" t="n">
        <v>3254</v>
      </c>
      <c r="E50" s="16" t="n">
        <v>2034</v>
      </c>
      <c r="F50" s="16" t="n">
        <v>642</v>
      </c>
      <c r="G50" s="16" t="n">
        <v>386</v>
      </c>
      <c r="H50" s="16" t="n">
        <v>252</v>
      </c>
    </row>
    <row r="51" customFormat="false" ht="15" hidden="false" customHeight="false" outlineLevel="0" collapsed="false">
      <c r="A51" s="16" t="n">
        <v>5</v>
      </c>
      <c r="B51" s="17" t="s">
        <v>18</v>
      </c>
      <c r="C51" s="17" t="s">
        <v>25</v>
      </c>
      <c r="D51" s="16" t="n">
        <v>5422</v>
      </c>
      <c r="E51" s="16" t="n">
        <v>3273</v>
      </c>
      <c r="F51" s="16" t="n">
        <v>967</v>
      </c>
      <c r="G51" s="16" t="n">
        <v>540</v>
      </c>
      <c r="H51" s="16" t="n">
        <v>260</v>
      </c>
    </row>
    <row r="52" customFormat="false" ht="15" hidden="false" customHeight="false" outlineLevel="0" collapsed="false">
      <c r="A52" s="16" t="n">
        <v>5</v>
      </c>
      <c r="B52" s="17" t="s">
        <v>18</v>
      </c>
      <c r="C52" s="17" t="s">
        <v>26</v>
      </c>
      <c r="D52" s="16" t="n">
        <v>910</v>
      </c>
      <c r="E52" s="16" t="n">
        <v>578</v>
      </c>
      <c r="F52" s="16" t="n">
        <v>154</v>
      </c>
      <c r="G52" s="16" t="n">
        <v>80</v>
      </c>
      <c r="H52" s="16" t="n">
        <v>50</v>
      </c>
    </row>
    <row r="53" customFormat="false" ht="15" hidden="false" customHeight="false" outlineLevel="0" collapsed="false">
      <c r="A53" s="16" t="n">
        <v>5</v>
      </c>
      <c r="B53" s="17" t="s">
        <v>19</v>
      </c>
      <c r="C53" s="17" t="s">
        <v>24</v>
      </c>
      <c r="D53" s="16" t="n">
        <v>2827</v>
      </c>
      <c r="E53" s="16" t="n">
        <v>1488</v>
      </c>
      <c r="F53" s="16" t="n">
        <v>329</v>
      </c>
      <c r="G53" s="16" t="n">
        <v>151</v>
      </c>
      <c r="H53" s="16" t="n">
        <v>91</v>
      </c>
    </row>
    <row r="54" customFormat="false" ht="15" hidden="false" customHeight="false" outlineLevel="0" collapsed="false">
      <c r="A54" s="16" t="n">
        <v>5</v>
      </c>
      <c r="B54" s="17" t="s">
        <v>19</v>
      </c>
      <c r="C54" s="17" t="s">
        <v>25</v>
      </c>
      <c r="D54" s="16" t="n">
        <v>4350</v>
      </c>
      <c r="E54" s="16" t="n">
        <v>2483</v>
      </c>
      <c r="F54" s="16" t="n">
        <v>536</v>
      </c>
      <c r="G54" s="16" t="n">
        <v>232</v>
      </c>
      <c r="H54" s="16" t="n">
        <v>101</v>
      </c>
    </row>
    <row r="55" customFormat="false" ht="15" hidden="false" customHeight="false" outlineLevel="0" collapsed="false">
      <c r="A55" s="16" t="n">
        <v>5</v>
      </c>
      <c r="B55" s="17" t="s">
        <v>19</v>
      </c>
      <c r="C55" s="17" t="s">
        <v>26</v>
      </c>
      <c r="D55" s="16" t="n">
        <v>764</v>
      </c>
      <c r="E55" s="16" t="n">
        <v>424</v>
      </c>
      <c r="F55" s="16" t="n">
        <v>94</v>
      </c>
      <c r="G55" s="16" t="n">
        <v>40</v>
      </c>
      <c r="H55" s="16" t="n">
        <v>18</v>
      </c>
    </row>
    <row r="56" customFormat="false" ht="15" hidden="false" customHeight="false" outlineLevel="0" collapsed="false">
      <c r="A56" s="16" t="n">
        <v>5</v>
      </c>
      <c r="B56" s="17" t="s">
        <v>20</v>
      </c>
      <c r="C56" s="17" t="s">
        <v>24</v>
      </c>
      <c r="D56" s="16" t="n">
        <v>1172</v>
      </c>
      <c r="E56" s="16" t="n">
        <v>803</v>
      </c>
      <c r="F56" s="16" t="n">
        <v>327</v>
      </c>
      <c r="G56" s="16" t="n">
        <v>222</v>
      </c>
      <c r="H56" s="16" t="n">
        <v>162</v>
      </c>
    </row>
    <row r="57" customFormat="false" ht="15" hidden="false" customHeight="false" outlineLevel="0" collapsed="false">
      <c r="A57" s="16" t="n">
        <v>5</v>
      </c>
      <c r="B57" s="17" t="s">
        <v>20</v>
      </c>
      <c r="C57" s="17" t="s">
        <v>25</v>
      </c>
      <c r="D57" s="16" t="n">
        <v>1599</v>
      </c>
      <c r="E57" s="16" t="n">
        <v>1075</v>
      </c>
      <c r="F57" s="16" t="n">
        <v>411</v>
      </c>
      <c r="G57" s="16" t="n">
        <v>249</v>
      </c>
      <c r="H57" s="16" t="n">
        <v>141</v>
      </c>
    </row>
    <row r="58" customFormat="false" ht="15" hidden="false" customHeight="false" outlineLevel="0" collapsed="false">
      <c r="A58" s="16" t="n">
        <v>5</v>
      </c>
      <c r="B58" s="17" t="s">
        <v>20</v>
      </c>
      <c r="C58" s="17" t="s">
        <v>26</v>
      </c>
      <c r="D58" s="16" t="n">
        <v>328</v>
      </c>
      <c r="E58" s="16" t="n">
        <v>222</v>
      </c>
      <c r="F58" s="16" t="n">
        <v>81</v>
      </c>
      <c r="G58" s="16" t="n">
        <v>46</v>
      </c>
      <c r="H58" s="16" t="n">
        <v>30</v>
      </c>
    </row>
    <row r="59" customFormat="false" ht="15" hidden="false" customHeight="false" outlineLevel="0" collapsed="false">
      <c r="A59" s="16" t="n">
        <v>5</v>
      </c>
      <c r="B59" s="17" t="s">
        <v>21</v>
      </c>
      <c r="C59" s="17" t="s">
        <v>24</v>
      </c>
      <c r="D59" s="16" t="n">
        <v>1986</v>
      </c>
      <c r="E59" s="16" t="n">
        <v>986</v>
      </c>
      <c r="F59" s="16" t="n">
        <v>175</v>
      </c>
      <c r="G59" s="16" t="n">
        <v>72</v>
      </c>
      <c r="H59" s="16" t="n">
        <v>36</v>
      </c>
    </row>
    <row r="60" customFormat="false" ht="15" hidden="false" customHeight="false" outlineLevel="0" collapsed="false">
      <c r="A60" s="16" t="n">
        <v>5</v>
      </c>
      <c r="B60" s="17" t="s">
        <v>21</v>
      </c>
      <c r="C60" s="17" t="s">
        <v>25</v>
      </c>
      <c r="D60" s="16" t="n">
        <v>2600</v>
      </c>
      <c r="E60" s="16" t="n">
        <v>1281</v>
      </c>
      <c r="F60" s="16" t="n">
        <v>235</v>
      </c>
      <c r="G60" s="16" t="n">
        <v>91</v>
      </c>
      <c r="H60" s="16" t="n">
        <v>36</v>
      </c>
    </row>
    <row r="61" customFormat="false" ht="15" hidden="false" customHeight="false" outlineLevel="0" collapsed="false">
      <c r="A61" s="16" t="n">
        <v>5</v>
      </c>
      <c r="B61" s="17" t="s">
        <v>21</v>
      </c>
      <c r="C61" s="17" t="s">
        <v>26</v>
      </c>
      <c r="D61" s="16" t="n">
        <v>530</v>
      </c>
      <c r="E61" s="16" t="n">
        <v>252</v>
      </c>
      <c r="F61" s="16" t="n">
        <v>40</v>
      </c>
      <c r="G61" s="16" t="n">
        <v>14</v>
      </c>
      <c r="H61" s="16" t="n">
        <v>6</v>
      </c>
    </row>
    <row r="62" customFormat="false" ht="15" hidden="false" customHeight="false" outlineLevel="0" collapsed="false">
      <c r="A62" s="16" t="n">
        <v>6</v>
      </c>
      <c r="B62" s="17" t="s">
        <v>18</v>
      </c>
      <c r="C62" s="17" t="s">
        <v>24</v>
      </c>
      <c r="D62" s="16" t="n">
        <v>3608</v>
      </c>
      <c r="E62" s="16" t="n">
        <v>2247</v>
      </c>
      <c r="F62" s="16" t="n">
        <v>740</v>
      </c>
      <c r="G62" s="16" t="n">
        <v>430</v>
      </c>
      <c r="H62" s="16" t="n">
        <v>278</v>
      </c>
    </row>
    <row r="63" customFormat="false" ht="15" hidden="false" customHeight="false" outlineLevel="0" collapsed="false">
      <c r="A63" s="16" t="n">
        <v>6</v>
      </c>
      <c r="B63" s="17" t="s">
        <v>18</v>
      </c>
      <c r="C63" s="17" t="s">
        <v>25</v>
      </c>
      <c r="D63" s="16" t="n">
        <v>4856</v>
      </c>
      <c r="E63" s="16" t="n">
        <v>2952</v>
      </c>
      <c r="F63" s="16" t="n">
        <v>935</v>
      </c>
      <c r="G63" s="16" t="n">
        <v>529</v>
      </c>
      <c r="H63" s="16" t="n">
        <v>275</v>
      </c>
    </row>
    <row r="64" customFormat="false" ht="15" hidden="false" customHeight="false" outlineLevel="0" collapsed="false">
      <c r="A64" s="16" t="n">
        <v>6</v>
      </c>
      <c r="B64" s="17" t="s">
        <v>18</v>
      </c>
      <c r="C64" s="17" t="s">
        <v>26</v>
      </c>
      <c r="D64" s="16" t="n">
        <v>1030</v>
      </c>
      <c r="E64" s="16" t="n">
        <v>620</v>
      </c>
      <c r="F64" s="16" t="n">
        <v>170</v>
      </c>
      <c r="G64" s="16" t="n">
        <v>85</v>
      </c>
      <c r="H64" s="16" t="n">
        <v>52</v>
      </c>
    </row>
    <row r="65" customFormat="false" ht="15" hidden="false" customHeight="false" outlineLevel="0" collapsed="false">
      <c r="A65" s="16" t="n">
        <v>6</v>
      </c>
      <c r="B65" s="17" t="s">
        <v>19</v>
      </c>
      <c r="C65" s="17" t="s">
        <v>24</v>
      </c>
      <c r="D65" s="16" t="n">
        <v>2796</v>
      </c>
      <c r="E65" s="16" t="n">
        <v>1523</v>
      </c>
      <c r="F65" s="16" t="n">
        <v>357</v>
      </c>
      <c r="G65" s="16" t="n">
        <v>162</v>
      </c>
      <c r="H65" s="16" t="n">
        <v>98</v>
      </c>
    </row>
    <row r="66" customFormat="false" ht="15" hidden="false" customHeight="false" outlineLevel="0" collapsed="false">
      <c r="A66" s="16" t="n">
        <v>6</v>
      </c>
      <c r="B66" s="17" t="s">
        <v>19</v>
      </c>
      <c r="C66" s="17" t="s">
        <v>25</v>
      </c>
      <c r="D66" s="16" t="n">
        <v>4378</v>
      </c>
      <c r="E66" s="16" t="n">
        <v>2522</v>
      </c>
      <c r="F66" s="16" t="n">
        <v>578</v>
      </c>
      <c r="G66" s="16" t="n">
        <v>270</v>
      </c>
      <c r="H66" s="16" t="n">
        <v>104</v>
      </c>
    </row>
    <row r="67" customFormat="false" ht="15" hidden="false" customHeight="false" outlineLevel="0" collapsed="false">
      <c r="A67" s="16" t="n">
        <v>6</v>
      </c>
      <c r="B67" s="17" t="s">
        <v>19</v>
      </c>
      <c r="C67" s="17" t="s">
        <v>26</v>
      </c>
      <c r="D67" s="16" t="n">
        <v>777</v>
      </c>
      <c r="E67" s="16" t="n">
        <v>420</v>
      </c>
      <c r="F67" s="16" t="n">
        <v>93</v>
      </c>
      <c r="G67" s="16" t="n">
        <v>40</v>
      </c>
      <c r="H67" s="16" t="n">
        <v>20</v>
      </c>
    </row>
    <row r="68" customFormat="false" ht="15" hidden="false" customHeight="false" outlineLevel="0" collapsed="false">
      <c r="A68" s="16" t="n">
        <v>6</v>
      </c>
      <c r="B68" s="17" t="s">
        <v>20</v>
      </c>
      <c r="C68" s="17" t="s">
        <v>24</v>
      </c>
      <c r="D68" s="16" t="n">
        <v>1182</v>
      </c>
      <c r="E68" s="16" t="n">
        <v>808</v>
      </c>
      <c r="F68" s="16" t="n">
        <v>335</v>
      </c>
      <c r="G68" s="16" t="n">
        <v>209</v>
      </c>
      <c r="H68" s="16" t="n">
        <v>169</v>
      </c>
    </row>
    <row r="69" customFormat="false" ht="15" hidden="false" customHeight="false" outlineLevel="0" collapsed="false">
      <c r="A69" s="16" t="n">
        <v>6</v>
      </c>
      <c r="B69" s="17" t="s">
        <v>20</v>
      </c>
      <c r="C69" s="17" t="s">
        <v>25</v>
      </c>
      <c r="D69" s="16" t="n">
        <v>1874</v>
      </c>
      <c r="E69" s="16" t="n">
        <v>1275</v>
      </c>
      <c r="F69" s="16" t="n">
        <v>505</v>
      </c>
      <c r="G69" s="16" t="n">
        <v>311</v>
      </c>
      <c r="H69" s="16" t="n">
        <v>169</v>
      </c>
    </row>
    <row r="70" customFormat="false" ht="15" hidden="false" customHeight="false" outlineLevel="0" collapsed="false">
      <c r="A70" s="16" t="n">
        <v>6</v>
      </c>
      <c r="B70" s="17" t="s">
        <v>20</v>
      </c>
      <c r="C70" s="17" t="s">
        <v>26</v>
      </c>
      <c r="D70" s="16" t="n">
        <v>336</v>
      </c>
      <c r="E70" s="16" t="n">
        <v>228</v>
      </c>
      <c r="F70" s="16" t="n">
        <v>76</v>
      </c>
      <c r="G70" s="16" t="n">
        <v>43</v>
      </c>
      <c r="H70" s="16" t="n">
        <v>27</v>
      </c>
    </row>
    <row r="71" customFormat="false" ht="15" hidden="false" customHeight="false" outlineLevel="0" collapsed="false">
      <c r="A71" s="16" t="n">
        <v>6</v>
      </c>
      <c r="B71" s="17" t="s">
        <v>21</v>
      </c>
      <c r="C71" s="17" t="s">
        <v>24</v>
      </c>
      <c r="D71" s="16" t="n">
        <v>1990</v>
      </c>
      <c r="E71" s="16" t="n">
        <v>999</v>
      </c>
      <c r="F71" s="16" t="n">
        <v>182</v>
      </c>
      <c r="G71" s="16" t="n">
        <v>77</v>
      </c>
      <c r="H71" s="16" t="n">
        <v>40</v>
      </c>
    </row>
    <row r="72" customFormat="false" ht="15" hidden="false" customHeight="false" outlineLevel="0" collapsed="false">
      <c r="A72" s="16" t="n">
        <v>6</v>
      </c>
      <c r="B72" s="17" t="s">
        <v>21</v>
      </c>
      <c r="C72" s="17" t="s">
        <v>25</v>
      </c>
      <c r="D72" s="16" t="n">
        <v>3195</v>
      </c>
      <c r="E72" s="16" t="n">
        <v>1539</v>
      </c>
      <c r="F72" s="16" t="n">
        <v>294</v>
      </c>
      <c r="G72" s="16" t="n">
        <v>113</v>
      </c>
      <c r="H72" s="16" t="n">
        <v>46</v>
      </c>
    </row>
    <row r="73" customFormat="false" ht="15" hidden="false" customHeight="false" outlineLevel="0" collapsed="false">
      <c r="A73" s="16" t="n">
        <v>6</v>
      </c>
      <c r="B73" s="17" t="s">
        <v>21</v>
      </c>
      <c r="C73" s="17" t="s">
        <v>26</v>
      </c>
      <c r="D73" s="16" t="n">
        <v>495</v>
      </c>
      <c r="E73" s="16" t="n">
        <v>248</v>
      </c>
      <c r="F73" s="16" t="n">
        <v>41</v>
      </c>
      <c r="G73" s="16" t="n">
        <v>14</v>
      </c>
      <c r="H73" s="16" t="n">
        <v>6</v>
      </c>
    </row>
    <row r="74" customFormat="false" ht="15" hidden="false" customHeight="false" outlineLevel="0" collapsed="false">
      <c r="A74" s="16" t="n">
        <v>7</v>
      </c>
      <c r="B74" s="17" t="s">
        <v>18</v>
      </c>
      <c r="C74" s="17" t="s">
        <v>24</v>
      </c>
      <c r="D74" s="16" t="n">
        <v>3524</v>
      </c>
      <c r="E74" s="16" t="n">
        <v>2144</v>
      </c>
      <c r="F74" s="16" t="n">
        <v>685</v>
      </c>
      <c r="G74" s="16" t="n">
        <v>396</v>
      </c>
      <c r="H74" s="16" t="n">
        <v>265</v>
      </c>
    </row>
    <row r="75" customFormat="false" ht="15" hidden="false" customHeight="false" outlineLevel="0" collapsed="false">
      <c r="A75" s="16" t="n">
        <v>7</v>
      </c>
      <c r="B75" s="17" t="s">
        <v>18</v>
      </c>
      <c r="C75" s="17" t="s">
        <v>25</v>
      </c>
      <c r="D75" s="16" t="n">
        <v>5377</v>
      </c>
      <c r="E75" s="16" t="n">
        <v>3251</v>
      </c>
      <c r="F75" s="16" t="n">
        <v>1003</v>
      </c>
      <c r="G75" s="16" t="n">
        <v>524</v>
      </c>
      <c r="H75" s="16" t="n">
        <v>275</v>
      </c>
    </row>
    <row r="76" customFormat="false" ht="15" hidden="false" customHeight="false" outlineLevel="0" collapsed="false">
      <c r="A76" s="16" t="n">
        <v>7</v>
      </c>
      <c r="B76" s="17" t="s">
        <v>18</v>
      </c>
      <c r="C76" s="17" t="s">
        <v>26</v>
      </c>
      <c r="D76" s="16" t="n">
        <v>970</v>
      </c>
      <c r="E76" s="16" t="n">
        <v>614</v>
      </c>
      <c r="F76" s="16" t="n">
        <v>180</v>
      </c>
      <c r="G76" s="16" t="n">
        <v>95</v>
      </c>
      <c r="H76" s="16" t="n">
        <v>54</v>
      </c>
    </row>
    <row r="77" customFormat="false" ht="15" hidden="false" customHeight="false" outlineLevel="0" collapsed="false">
      <c r="A77" s="16" t="n">
        <v>7</v>
      </c>
      <c r="B77" s="17" t="s">
        <v>19</v>
      </c>
      <c r="C77" s="17" t="s">
        <v>24</v>
      </c>
      <c r="D77" s="16" t="n">
        <v>2396</v>
      </c>
      <c r="E77" s="16" t="n">
        <v>1339</v>
      </c>
      <c r="F77" s="16" t="n">
        <v>301</v>
      </c>
      <c r="G77" s="16" t="n">
        <v>139</v>
      </c>
      <c r="H77" s="16" t="n">
        <v>83</v>
      </c>
    </row>
    <row r="78" customFormat="false" ht="15" hidden="false" customHeight="false" outlineLevel="0" collapsed="false">
      <c r="A78" s="16" t="n">
        <v>7</v>
      </c>
      <c r="B78" s="17" t="s">
        <v>19</v>
      </c>
      <c r="C78" s="17" t="s">
        <v>25</v>
      </c>
      <c r="D78" s="16" t="n">
        <v>4300</v>
      </c>
      <c r="E78" s="16" t="n">
        <v>2317</v>
      </c>
      <c r="F78" s="16" t="n">
        <v>496</v>
      </c>
      <c r="G78" s="16" t="n">
        <v>221</v>
      </c>
      <c r="H78" s="16" t="n">
        <v>90</v>
      </c>
    </row>
    <row r="79" customFormat="false" ht="15" hidden="false" customHeight="false" outlineLevel="0" collapsed="false">
      <c r="A79" s="16" t="n">
        <v>7</v>
      </c>
      <c r="B79" s="17" t="s">
        <v>19</v>
      </c>
      <c r="C79" s="17" t="s">
        <v>26</v>
      </c>
      <c r="D79" s="16" t="n">
        <v>718</v>
      </c>
      <c r="E79" s="16" t="n">
        <v>380</v>
      </c>
      <c r="F79" s="16" t="n">
        <v>78</v>
      </c>
      <c r="G79" s="16" t="n">
        <v>34</v>
      </c>
      <c r="H79" s="16" t="n">
        <v>17</v>
      </c>
    </row>
    <row r="80" customFormat="false" ht="15" hidden="false" customHeight="false" outlineLevel="0" collapsed="false">
      <c r="A80" s="16" t="n">
        <v>7</v>
      </c>
      <c r="B80" s="17" t="s">
        <v>20</v>
      </c>
      <c r="C80" s="17" t="s">
        <v>24</v>
      </c>
      <c r="D80" s="16" t="n">
        <v>1214</v>
      </c>
      <c r="E80" s="16" t="n">
        <v>859</v>
      </c>
      <c r="F80" s="16" t="n">
        <v>333</v>
      </c>
      <c r="G80" s="16" t="n">
        <v>217</v>
      </c>
      <c r="H80" s="16" t="n">
        <v>155</v>
      </c>
    </row>
    <row r="81" customFormat="false" ht="15" hidden="false" customHeight="false" outlineLevel="0" collapsed="false">
      <c r="A81" s="16" t="n">
        <v>7</v>
      </c>
      <c r="B81" s="17" t="s">
        <v>20</v>
      </c>
      <c r="C81" s="17" t="s">
        <v>25</v>
      </c>
      <c r="D81" s="16" t="n">
        <v>1690</v>
      </c>
      <c r="E81" s="16" t="n">
        <v>1174</v>
      </c>
      <c r="F81" s="16" t="n">
        <v>451</v>
      </c>
      <c r="G81" s="16" t="n">
        <v>283</v>
      </c>
      <c r="H81" s="16" t="n">
        <v>157</v>
      </c>
    </row>
    <row r="82" customFormat="false" ht="15" hidden="false" customHeight="false" outlineLevel="0" collapsed="false">
      <c r="A82" s="16" t="n">
        <v>7</v>
      </c>
      <c r="B82" s="17" t="s">
        <v>20</v>
      </c>
      <c r="C82" s="17" t="s">
        <v>26</v>
      </c>
      <c r="D82" s="16" t="n">
        <v>317</v>
      </c>
      <c r="E82" s="16" t="n">
        <v>215</v>
      </c>
      <c r="F82" s="16" t="n">
        <v>77</v>
      </c>
      <c r="G82" s="16" t="n">
        <v>47</v>
      </c>
      <c r="H82" s="16" t="n">
        <v>32</v>
      </c>
    </row>
    <row r="83" customFormat="false" ht="15" hidden="false" customHeight="false" outlineLevel="0" collapsed="false">
      <c r="A83" s="16" t="n">
        <v>7</v>
      </c>
      <c r="B83" s="17" t="s">
        <v>21</v>
      </c>
      <c r="C83" s="17" t="s">
        <v>24</v>
      </c>
      <c r="D83" s="16" t="n">
        <v>1748</v>
      </c>
      <c r="E83" s="16" t="n">
        <v>804</v>
      </c>
      <c r="F83" s="16" t="n">
        <v>152</v>
      </c>
      <c r="G83" s="16" t="n">
        <v>64</v>
      </c>
      <c r="H83" s="16" t="n">
        <v>33</v>
      </c>
    </row>
    <row r="84" customFormat="false" ht="15" hidden="false" customHeight="false" outlineLevel="0" collapsed="false">
      <c r="A84" s="16" t="n">
        <v>7</v>
      </c>
      <c r="B84" s="17" t="s">
        <v>21</v>
      </c>
      <c r="C84" s="17" t="s">
        <v>25</v>
      </c>
      <c r="D84" s="16" t="n">
        <v>3129</v>
      </c>
      <c r="E84" s="16" t="n">
        <v>1539</v>
      </c>
      <c r="F84" s="16" t="n">
        <v>283</v>
      </c>
      <c r="G84" s="16" t="n">
        <v>110</v>
      </c>
      <c r="H84" s="16" t="n">
        <v>40</v>
      </c>
    </row>
    <row r="85" customFormat="false" ht="15" hidden="false" customHeight="false" outlineLevel="0" collapsed="false">
      <c r="A85" s="16" t="n">
        <v>7</v>
      </c>
      <c r="B85" s="17" t="s">
        <v>21</v>
      </c>
      <c r="C85" s="17" t="s">
        <v>26</v>
      </c>
      <c r="D85" s="16" t="n">
        <v>484</v>
      </c>
      <c r="E85" s="16" t="n">
        <v>226</v>
      </c>
      <c r="F85" s="16" t="n">
        <v>38</v>
      </c>
      <c r="G85" s="16" t="n">
        <v>14</v>
      </c>
      <c r="H85" s="16" t="n">
        <v>6</v>
      </c>
    </row>
    <row r="86" customFormat="false" ht="15" hidden="false" customHeight="false" outlineLevel="0" collapsed="false">
      <c r="A86" s="16" t="n">
        <v>8</v>
      </c>
      <c r="B86" s="17" t="s">
        <v>18</v>
      </c>
      <c r="C86" s="17" t="s">
        <v>24</v>
      </c>
      <c r="D86" s="16" t="n">
        <v>3343</v>
      </c>
      <c r="E86" s="16" t="n">
        <v>2099</v>
      </c>
      <c r="F86" s="16" t="n">
        <v>632</v>
      </c>
      <c r="G86" s="16" t="n">
        <v>372</v>
      </c>
      <c r="H86" s="16" t="n">
        <v>253</v>
      </c>
    </row>
    <row r="87" customFormat="false" ht="15" hidden="false" customHeight="false" outlineLevel="0" collapsed="false">
      <c r="A87" s="16" t="n">
        <v>8</v>
      </c>
      <c r="B87" s="17" t="s">
        <v>18</v>
      </c>
      <c r="C87" s="17" t="s">
        <v>25</v>
      </c>
      <c r="D87" s="16" t="n">
        <v>5072</v>
      </c>
      <c r="E87" s="16" t="n">
        <v>3193</v>
      </c>
      <c r="F87" s="16" t="n">
        <v>891</v>
      </c>
      <c r="G87" s="16" t="n">
        <v>502</v>
      </c>
      <c r="H87" s="16" t="n">
        <v>258</v>
      </c>
    </row>
    <row r="88" customFormat="false" ht="15" hidden="false" customHeight="false" outlineLevel="0" collapsed="false">
      <c r="A88" s="16" t="n">
        <v>8</v>
      </c>
      <c r="B88" s="17" t="s">
        <v>18</v>
      </c>
      <c r="C88" s="17" t="s">
        <v>26</v>
      </c>
      <c r="D88" s="16" t="n">
        <v>895</v>
      </c>
      <c r="E88" s="16" t="n">
        <v>550</v>
      </c>
      <c r="F88" s="16" t="n">
        <v>149</v>
      </c>
      <c r="G88" s="16" t="n">
        <v>81</v>
      </c>
      <c r="H88" s="16" t="n">
        <v>47</v>
      </c>
    </row>
    <row r="89" customFormat="false" ht="15" hidden="false" customHeight="false" outlineLevel="0" collapsed="false">
      <c r="A89" s="16" t="n">
        <v>8</v>
      </c>
      <c r="B89" s="17" t="s">
        <v>19</v>
      </c>
      <c r="C89" s="17" t="s">
        <v>24</v>
      </c>
      <c r="D89" s="16" t="n">
        <v>2407</v>
      </c>
      <c r="E89" s="16" t="n">
        <v>1290</v>
      </c>
      <c r="F89" s="16" t="n">
        <v>312</v>
      </c>
      <c r="G89" s="16" t="n">
        <v>146</v>
      </c>
      <c r="H89" s="16" t="n">
        <v>87</v>
      </c>
    </row>
    <row r="90" customFormat="false" ht="15" hidden="false" customHeight="false" outlineLevel="0" collapsed="false">
      <c r="A90" s="16" t="n">
        <v>8</v>
      </c>
      <c r="B90" s="17" t="s">
        <v>19</v>
      </c>
      <c r="C90" s="17" t="s">
        <v>25</v>
      </c>
      <c r="D90" s="16" t="n">
        <v>4297</v>
      </c>
      <c r="E90" s="16" t="n">
        <v>2478</v>
      </c>
      <c r="F90" s="16" t="n">
        <v>552</v>
      </c>
      <c r="G90" s="16" t="n">
        <v>259</v>
      </c>
      <c r="H90" s="16" t="n">
        <v>113</v>
      </c>
    </row>
    <row r="91" customFormat="false" ht="15" hidden="false" customHeight="false" outlineLevel="0" collapsed="false">
      <c r="A91" s="16" t="n">
        <v>8</v>
      </c>
      <c r="B91" s="17" t="s">
        <v>19</v>
      </c>
      <c r="C91" s="17" t="s">
        <v>26</v>
      </c>
      <c r="D91" s="16" t="n">
        <v>773</v>
      </c>
      <c r="E91" s="16" t="n">
        <v>434</v>
      </c>
      <c r="F91" s="16" t="n">
        <v>90</v>
      </c>
      <c r="G91" s="16" t="n">
        <v>39</v>
      </c>
      <c r="H91" s="16" t="n">
        <v>19</v>
      </c>
    </row>
    <row r="92" customFormat="false" ht="15" hidden="false" customHeight="false" outlineLevel="0" collapsed="false">
      <c r="A92" s="16" t="n">
        <v>8</v>
      </c>
      <c r="B92" s="17" t="s">
        <v>20</v>
      </c>
      <c r="C92" s="17" t="s">
        <v>24</v>
      </c>
      <c r="D92" s="16" t="n">
        <v>1224</v>
      </c>
      <c r="E92" s="16" t="n">
        <v>877</v>
      </c>
      <c r="F92" s="16" t="n">
        <v>348</v>
      </c>
      <c r="G92" s="16" t="n">
        <v>221</v>
      </c>
      <c r="H92" s="16" t="n">
        <v>164</v>
      </c>
    </row>
    <row r="93" customFormat="false" ht="15" hidden="false" customHeight="false" outlineLevel="0" collapsed="false">
      <c r="A93" s="16" t="n">
        <v>8</v>
      </c>
      <c r="B93" s="17" t="s">
        <v>20</v>
      </c>
      <c r="C93" s="17" t="s">
        <v>25</v>
      </c>
      <c r="D93" s="16" t="n">
        <v>1831</v>
      </c>
      <c r="E93" s="16" t="n">
        <v>1315</v>
      </c>
      <c r="F93" s="16" t="n">
        <v>501</v>
      </c>
      <c r="G93" s="16" t="n">
        <v>314</v>
      </c>
      <c r="H93" s="16" t="n">
        <v>170</v>
      </c>
    </row>
    <row r="94" customFormat="false" ht="15" hidden="false" customHeight="false" outlineLevel="0" collapsed="false">
      <c r="A94" s="16" t="n">
        <v>8</v>
      </c>
      <c r="B94" s="17" t="s">
        <v>20</v>
      </c>
      <c r="C94" s="17" t="s">
        <v>26</v>
      </c>
      <c r="D94" s="16" t="n">
        <v>296</v>
      </c>
      <c r="E94" s="16" t="n">
        <v>202</v>
      </c>
      <c r="F94" s="16" t="n">
        <v>70</v>
      </c>
      <c r="G94" s="16" t="n">
        <v>40</v>
      </c>
      <c r="H94" s="16" t="n">
        <v>26</v>
      </c>
    </row>
    <row r="95" customFormat="false" ht="15" hidden="false" customHeight="false" outlineLevel="0" collapsed="false">
      <c r="A95" s="16" t="n">
        <v>8</v>
      </c>
      <c r="B95" s="17" t="s">
        <v>21</v>
      </c>
      <c r="C95" s="17" t="s">
        <v>24</v>
      </c>
      <c r="D95" s="16" t="n">
        <v>1753</v>
      </c>
      <c r="E95" s="16" t="n">
        <v>818</v>
      </c>
      <c r="F95" s="16" t="n">
        <v>158</v>
      </c>
      <c r="G95" s="16" t="n">
        <v>67</v>
      </c>
      <c r="H95" s="16" t="n">
        <v>33</v>
      </c>
    </row>
    <row r="96" customFormat="false" ht="15" hidden="false" customHeight="false" outlineLevel="0" collapsed="false">
      <c r="A96" s="16" t="n">
        <v>8</v>
      </c>
      <c r="B96" s="17" t="s">
        <v>21</v>
      </c>
      <c r="C96" s="17" t="s">
        <v>25</v>
      </c>
      <c r="D96" s="16" t="n">
        <v>2915</v>
      </c>
      <c r="E96" s="16" t="n">
        <v>1405</v>
      </c>
      <c r="F96" s="16" t="n">
        <v>249</v>
      </c>
      <c r="G96" s="16" t="n">
        <v>96</v>
      </c>
      <c r="H96" s="16" t="n">
        <v>36</v>
      </c>
    </row>
    <row r="97" customFormat="false" ht="15" hidden="false" customHeight="false" outlineLevel="0" collapsed="false">
      <c r="A97" s="16" t="n">
        <v>8</v>
      </c>
      <c r="B97" s="17" t="s">
        <v>21</v>
      </c>
      <c r="C97" s="17" t="s">
        <v>26</v>
      </c>
      <c r="D97" s="16" t="n">
        <v>583</v>
      </c>
      <c r="E97" s="16" t="n">
        <v>282</v>
      </c>
      <c r="F97" s="16" t="n">
        <v>49</v>
      </c>
      <c r="G97" s="16" t="n">
        <v>19</v>
      </c>
      <c r="H97" s="16" t="n">
        <v>8</v>
      </c>
    </row>
    <row r="98" customFormat="false" ht="15" hidden="false" customHeight="false" outlineLevel="0" collapsed="false">
      <c r="A98" s="16" t="n">
        <v>9</v>
      </c>
      <c r="B98" s="17" t="s">
        <v>18</v>
      </c>
      <c r="C98" s="17" t="s">
        <v>24</v>
      </c>
      <c r="D98" s="16" t="n">
        <v>3351</v>
      </c>
      <c r="E98" s="16" t="n">
        <v>1974</v>
      </c>
      <c r="F98" s="16" t="n">
        <v>608</v>
      </c>
      <c r="G98" s="16" t="n">
        <v>360</v>
      </c>
      <c r="H98" s="16" t="n">
        <v>257</v>
      </c>
    </row>
    <row r="99" customFormat="false" ht="15" hidden="false" customHeight="false" outlineLevel="0" collapsed="false">
      <c r="A99" s="16" t="n">
        <v>9</v>
      </c>
      <c r="B99" s="17" t="s">
        <v>18</v>
      </c>
      <c r="C99" s="17" t="s">
        <v>25</v>
      </c>
      <c r="D99" s="16" t="n">
        <v>5884</v>
      </c>
      <c r="E99" s="16" t="n">
        <v>3618</v>
      </c>
      <c r="F99" s="16" t="n">
        <v>1123</v>
      </c>
      <c r="G99" s="16" t="n">
        <v>620</v>
      </c>
      <c r="H99" s="16" t="n">
        <v>311</v>
      </c>
    </row>
    <row r="100" customFormat="false" ht="15" hidden="false" customHeight="false" outlineLevel="0" collapsed="false">
      <c r="A100" s="16" t="n">
        <v>9</v>
      </c>
      <c r="B100" s="17" t="s">
        <v>18</v>
      </c>
      <c r="C100" s="17" t="s">
        <v>26</v>
      </c>
      <c r="D100" s="16" t="n">
        <v>926</v>
      </c>
      <c r="E100" s="16" t="n">
        <v>558</v>
      </c>
      <c r="F100" s="16" t="n">
        <v>157</v>
      </c>
      <c r="G100" s="16" t="n">
        <v>78</v>
      </c>
      <c r="H100" s="16" t="n">
        <v>44</v>
      </c>
    </row>
    <row r="101" customFormat="false" ht="15" hidden="false" customHeight="false" outlineLevel="0" collapsed="false">
      <c r="A101" s="16" t="n">
        <v>9</v>
      </c>
      <c r="B101" s="17" t="s">
        <v>19</v>
      </c>
      <c r="C101" s="17" t="s">
        <v>24</v>
      </c>
      <c r="D101" s="16" t="n">
        <v>2766</v>
      </c>
      <c r="E101" s="16" t="n">
        <v>1506</v>
      </c>
      <c r="F101" s="16" t="n">
        <v>331</v>
      </c>
      <c r="G101" s="16" t="n">
        <v>155</v>
      </c>
      <c r="H101" s="16" t="n">
        <v>84</v>
      </c>
    </row>
    <row r="102" customFormat="false" ht="15" hidden="false" customHeight="false" outlineLevel="0" collapsed="false">
      <c r="A102" s="16" t="n">
        <v>9</v>
      </c>
      <c r="B102" s="17" t="s">
        <v>19</v>
      </c>
      <c r="C102" s="17" t="s">
        <v>25</v>
      </c>
      <c r="D102" s="16" t="n">
        <v>4299</v>
      </c>
      <c r="E102" s="16" t="n">
        <v>2252</v>
      </c>
      <c r="F102" s="16" t="n">
        <v>488</v>
      </c>
      <c r="G102" s="16" t="n">
        <v>221</v>
      </c>
      <c r="H102" s="16" t="n">
        <v>85</v>
      </c>
    </row>
    <row r="103" customFormat="false" ht="15" hidden="false" customHeight="false" outlineLevel="0" collapsed="false">
      <c r="A103" s="16" t="n">
        <v>9</v>
      </c>
      <c r="B103" s="17" t="s">
        <v>19</v>
      </c>
      <c r="C103" s="17" t="s">
        <v>26</v>
      </c>
      <c r="D103" s="16" t="n">
        <v>784</v>
      </c>
      <c r="E103" s="16" t="n">
        <v>415</v>
      </c>
      <c r="F103" s="16" t="n">
        <v>86</v>
      </c>
      <c r="G103" s="16" t="n">
        <v>35</v>
      </c>
      <c r="H103" s="16" t="n">
        <v>16</v>
      </c>
    </row>
    <row r="104" customFormat="false" ht="15" hidden="false" customHeight="false" outlineLevel="0" collapsed="false">
      <c r="A104" s="16" t="n">
        <v>9</v>
      </c>
      <c r="B104" s="17" t="s">
        <v>20</v>
      </c>
      <c r="C104" s="17" t="s">
        <v>24</v>
      </c>
      <c r="D104" s="16" t="n">
        <v>1078</v>
      </c>
      <c r="E104" s="16" t="n">
        <v>741</v>
      </c>
      <c r="F104" s="16" t="n">
        <v>306</v>
      </c>
      <c r="G104" s="16" t="n">
        <v>196</v>
      </c>
      <c r="H104" s="16" t="n">
        <v>156</v>
      </c>
    </row>
    <row r="105" customFormat="false" ht="15" hidden="false" customHeight="false" outlineLevel="0" collapsed="false">
      <c r="A105" s="16" t="n">
        <v>9</v>
      </c>
      <c r="B105" s="17" t="s">
        <v>20</v>
      </c>
      <c r="C105" s="17" t="s">
        <v>25</v>
      </c>
      <c r="D105" s="16" t="n">
        <v>1917</v>
      </c>
      <c r="E105" s="16" t="n">
        <v>1308</v>
      </c>
      <c r="F105" s="16" t="n">
        <v>467</v>
      </c>
      <c r="G105" s="16" t="n">
        <v>275</v>
      </c>
      <c r="H105" s="16" t="n">
        <v>154</v>
      </c>
    </row>
    <row r="106" customFormat="false" ht="15" hidden="false" customHeight="false" outlineLevel="0" collapsed="false">
      <c r="A106" s="16" t="n">
        <v>9</v>
      </c>
      <c r="B106" s="17" t="s">
        <v>20</v>
      </c>
      <c r="C106" s="17" t="s">
        <v>26</v>
      </c>
      <c r="D106" s="16" t="n">
        <v>359</v>
      </c>
      <c r="E106" s="16" t="n">
        <v>247</v>
      </c>
      <c r="F106" s="16" t="n">
        <v>91</v>
      </c>
      <c r="G106" s="16" t="n">
        <v>55</v>
      </c>
      <c r="H106" s="16" t="n">
        <v>37</v>
      </c>
    </row>
    <row r="107" customFormat="false" ht="15" hidden="false" customHeight="false" outlineLevel="0" collapsed="false">
      <c r="A107" s="16" t="n">
        <v>9</v>
      </c>
      <c r="B107" s="17" t="s">
        <v>21</v>
      </c>
      <c r="C107" s="17" t="s">
        <v>24</v>
      </c>
      <c r="D107" s="16" t="n">
        <v>2004</v>
      </c>
      <c r="E107" s="16" t="n">
        <v>1005</v>
      </c>
      <c r="F107" s="16" t="n">
        <v>181</v>
      </c>
      <c r="G107" s="16" t="n">
        <v>72</v>
      </c>
      <c r="H107" s="16" t="n">
        <v>36</v>
      </c>
    </row>
    <row r="108" customFormat="false" ht="15" hidden="false" customHeight="false" outlineLevel="0" collapsed="false">
      <c r="A108" s="16" t="n">
        <v>9</v>
      </c>
      <c r="B108" s="17" t="s">
        <v>21</v>
      </c>
      <c r="C108" s="17" t="s">
        <v>25</v>
      </c>
      <c r="D108" s="16" t="n">
        <v>2773</v>
      </c>
      <c r="E108" s="16" t="n">
        <v>1353</v>
      </c>
      <c r="F108" s="16" t="n">
        <v>245</v>
      </c>
      <c r="G108" s="16" t="n">
        <v>95</v>
      </c>
      <c r="H108" s="16" t="n">
        <v>37</v>
      </c>
    </row>
    <row r="109" customFormat="false" ht="15" hidden="false" customHeight="false" outlineLevel="0" collapsed="false">
      <c r="A109" s="16" t="n">
        <v>9</v>
      </c>
      <c r="B109" s="17" t="s">
        <v>21</v>
      </c>
      <c r="C109" s="17" t="s">
        <v>26</v>
      </c>
      <c r="D109" s="16" t="n">
        <v>574</v>
      </c>
      <c r="E109" s="16" t="n">
        <v>266</v>
      </c>
      <c r="F109" s="16" t="n">
        <v>46</v>
      </c>
      <c r="G109" s="16" t="n">
        <v>17</v>
      </c>
      <c r="H109" s="16" t="n">
        <v>7</v>
      </c>
    </row>
    <row r="110" customFormat="false" ht="15" hidden="false" customHeight="false" outlineLevel="0" collapsed="false">
      <c r="A110" s="16" t="n">
        <v>10</v>
      </c>
      <c r="B110" s="17" t="s">
        <v>18</v>
      </c>
      <c r="C110" s="17" t="s">
        <v>24</v>
      </c>
      <c r="D110" s="16" t="n">
        <v>3686</v>
      </c>
      <c r="E110" s="16" t="n">
        <v>2391</v>
      </c>
      <c r="F110" s="16" t="n">
        <v>711</v>
      </c>
      <c r="G110" s="16" t="n">
        <v>391</v>
      </c>
      <c r="H110" s="16" t="n">
        <v>259</v>
      </c>
    </row>
    <row r="111" customFormat="false" ht="15" hidden="false" customHeight="false" outlineLevel="0" collapsed="false">
      <c r="A111" s="16" t="n">
        <v>10</v>
      </c>
      <c r="B111" s="17" t="s">
        <v>18</v>
      </c>
      <c r="C111" s="17" t="s">
        <v>25</v>
      </c>
      <c r="D111" s="16" t="n">
        <v>5638</v>
      </c>
      <c r="E111" s="16" t="n">
        <v>3655</v>
      </c>
      <c r="F111" s="16" t="n">
        <v>1080</v>
      </c>
      <c r="G111" s="16" t="n">
        <v>606</v>
      </c>
      <c r="H111" s="16" t="n">
        <v>282</v>
      </c>
    </row>
    <row r="112" customFormat="false" ht="15" hidden="false" customHeight="false" outlineLevel="0" collapsed="false">
      <c r="A112" s="16" t="n">
        <v>10</v>
      </c>
      <c r="B112" s="17" t="s">
        <v>18</v>
      </c>
      <c r="C112" s="17" t="s">
        <v>26</v>
      </c>
      <c r="D112" s="16" t="n">
        <v>1027</v>
      </c>
      <c r="E112" s="16" t="n">
        <v>644</v>
      </c>
      <c r="F112" s="16" t="n">
        <v>173</v>
      </c>
      <c r="G112" s="16" t="n">
        <v>92</v>
      </c>
      <c r="H112" s="16" t="n">
        <v>56</v>
      </c>
    </row>
    <row r="113" customFormat="false" ht="15" hidden="false" customHeight="false" outlineLevel="0" collapsed="false">
      <c r="A113" s="16" t="n">
        <v>10</v>
      </c>
      <c r="B113" s="17" t="s">
        <v>19</v>
      </c>
      <c r="C113" s="17" t="s">
        <v>24</v>
      </c>
      <c r="D113" s="16" t="n">
        <v>2749</v>
      </c>
      <c r="E113" s="16" t="n">
        <v>1454</v>
      </c>
      <c r="F113" s="16" t="n">
        <v>358</v>
      </c>
      <c r="G113" s="16" t="n">
        <v>173</v>
      </c>
      <c r="H113" s="16" t="n">
        <v>96</v>
      </c>
    </row>
    <row r="114" customFormat="false" ht="15" hidden="false" customHeight="false" outlineLevel="0" collapsed="false">
      <c r="A114" s="16" t="n">
        <v>10</v>
      </c>
      <c r="B114" s="17" t="s">
        <v>19</v>
      </c>
      <c r="C114" s="17" t="s">
        <v>25</v>
      </c>
      <c r="D114" s="16" t="n">
        <v>4174</v>
      </c>
      <c r="E114" s="16" t="n">
        <v>2265</v>
      </c>
      <c r="F114" s="16" t="n">
        <v>498</v>
      </c>
      <c r="G114" s="16" t="n">
        <v>220</v>
      </c>
      <c r="H114" s="16" t="n">
        <v>95</v>
      </c>
    </row>
    <row r="115" customFormat="false" ht="15" hidden="false" customHeight="false" outlineLevel="0" collapsed="false">
      <c r="A115" s="16" t="n">
        <v>10</v>
      </c>
      <c r="B115" s="17" t="s">
        <v>19</v>
      </c>
      <c r="C115" s="17" t="s">
        <v>26</v>
      </c>
      <c r="D115" s="16" t="n">
        <v>819</v>
      </c>
      <c r="E115" s="16" t="n">
        <v>432</v>
      </c>
      <c r="F115" s="16" t="n">
        <v>96</v>
      </c>
      <c r="G115" s="16" t="n">
        <v>41</v>
      </c>
      <c r="H115" s="16" t="n">
        <v>21</v>
      </c>
    </row>
    <row r="116" customFormat="false" ht="15" hidden="false" customHeight="false" outlineLevel="0" collapsed="false">
      <c r="A116" s="16" t="n">
        <v>10</v>
      </c>
      <c r="B116" s="17" t="s">
        <v>20</v>
      </c>
      <c r="C116" s="17" t="s">
        <v>24</v>
      </c>
      <c r="D116" s="16" t="n">
        <v>1202</v>
      </c>
      <c r="E116" s="16" t="n">
        <v>835</v>
      </c>
      <c r="F116" s="16" t="n">
        <v>344</v>
      </c>
      <c r="G116" s="16" t="n">
        <v>234</v>
      </c>
      <c r="H116" s="16" t="n">
        <v>174</v>
      </c>
    </row>
    <row r="117" customFormat="false" ht="15" hidden="false" customHeight="false" outlineLevel="0" collapsed="false">
      <c r="A117" s="16" t="n">
        <v>10</v>
      </c>
      <c r="B117" s="17" t="s">
        <v>20</v>
      </c>
      <c r="C117" s="17" t="s">
        <v>25</v>
      </c>
      <c r="D117" s="16" t="n">
        <v>1926</v>
      </c>
      <c r="E117" s="16" t="n">
        <v>1353</v>
      </c>
      <c r="F117" s="16" t="n">
        <v>512</v>
      </c>
      <c r="G117" s="16" t="n">
        <v>315</v>
      </c>
      <c r="H117" s="16" t="n">
        <v>182</v>
      </c>
    </row>
    <row r="118" customFormat="false" ht="15" hidden="false" customHeight="false" outlineLevel="0" collapsed="false">
      <c r="A118" s="16" t="n">
        <v>10</v>
      </c>
      <c r="B118" s="17" t="s">
        <v>20</v>
      </c>
      <c r="C118" s="17" t="s">
        <v>26</v>
      </c>
      <c r="D118" s="16" t="n">
        <v>314</v>
      </c>
      <c r="E118" s="16" t="n">
        <v>227</v>
      </c>
      <c r="F118" s="16" t="n">
        <v>85</v>
      </c>
      <c r="G118" s="16" t="n">
        <v>47</v>
      </c>
      <c r="H118" s="16" t="n">
        <v>32</v>
      </c>
    </row>
    <row r="119" customFormat="false" ht="15" hidden="false" customHeight="false" outlineLevel="0" collapsed="false">
      <c r="A119" s="16" t="n">
        <v>10</v>
      </c>
      <c r="B119" s="17" t="s">
        <v>21</v>
      </c>
      <c r="C119" s="17" t="s">
        <v>24</v>
      </c>
      <c r="D119" s="16" t="n">
        <v>1826</v>
      </c>
      <c r="E119" s="16" t="n">
        <v>873</v>
      </c>
      <c r="F119" s="16" t="n">
        <v>167</v>
      </c>
      <c r="G119" s="16" t="n">
        <v>69</v>
      </c>
      <c r="H119" s="16" t="n">
        <v>34</v>
      </c>
    </row>
    <row r="120" customFormat="false" ht="15" hidden="false" customHeight="false" outlineLevel="0" collapsed="false">
      <c r="A120" s="16" t="n">
        <v>10</v>
      </c>
      <c r="B120" s="17" t="s">
        <v>21</v>
      </c>
      <c r="C120" s="17" t="s">
        <v>25</v>
      </c>
      <c r="D120" s="16" t="n">
        <v>3237</v>
      </c>
      <c r="E120" s="16" t="n">
        <v>1504</v>
      </c>
      <c r="F120" s="16" t="n">
        <v>259</v>
      </c>
      <c r="G120" s="16" t="n">
        <v>106</v>
      </c>
      <c r="H120" s="16" t="n">
        <v>39</v>
      </c>
    </row>
    <row r="121" customFormat="false" ht="15" hidden="false" customHeight="false" outlineLevel="0" collapsed="false">
      <c r="A121" s="16" t="n">
        <v>10</v>
      </c>
      <c r="B121" s="17" t="s">
        <v>21</v>
      </c>
      <c r="C121" s="17" t="s">
        <v>26</v>
      </c>
      <c r="D121" s="16" t="n">
        <v>591</v>
      </c>
      <c r="E121" s="16" t="n">
        <v>289</v>
      </c>
      <c r="F121" s="16" t="n">
        <v>47</v>
      </c>
      <c r="G121" s="16" t="n">
        <v>16</v>
      </c>
      <c r="H121" s="16" t="n">
        <v>7</v>
      </c>
    </row>
    <row r="122" customFormat="false" ht="15" hidden="false" customHeight="false" outlineLevel="0" collapsed="false">
      <c r="A122" s="16" t="n">
        <v>11</v>
      </c>
      <c r="B122" s="17" t="s">
        <v>18</v>
      </c>
      <c r="C122" s="17" t="s">
        <v>24</v>
      </c>
      <c r="D122" s="16" t="n">
        <v>3206</v>
      </c>
      <c r="E122" s="16" t="n">
        <v>2031</v>
      </c>
      <c r="F122" s="16" t="n">
        <v>638</v>
      </c>
      <c r="G122" s="16" t="n">
        <v>377</v>
      </c>
      <c r="H122" s="16" t="n">
        <v>263</v>
      </c>
    </row>
    <row r="123" customFormat="false" ht="15" hidden="false" customHeight="false" outlineLevel="0" collapsed="false">
      <c r="A123" s="16" t="n">
        <v>11</v>
      </c>
      <c r="B123" s="17" t="s">
        <v>18</v>
      </c>
      <c r="C123" s="17" t="s">
        <v>25</v>
      </c>
      <c r="D123" s="16" t="n">
        <v>5654</v>
      </c>
      <c r="E123" s="16" t="n">
        <v>3502</v>
      </c>
      <c r="F123" s="16" t="n">
        <v>1093</v>
      </c>
      <c r="G123" s="16" t="n">
        <v>576</v>
      </c>
      <c r="H123" s="16" t="n">
        <v>274</v>
      </c>
    </row>
    <row r="124" customFormat="false" ht="15" hidden="false" customHeight="false" outlineLevel="0" collapsed="false">
      <c r="A124" s="16" t="n">
        <v>11</v>
      </c>
      <c r="B124" s="17" t="s">
        <v>18</v>
      </c>
      <c r="C124" s="17" t="s">
        <v>26</v>
      </c>
      <c r="D124" s="16" t="n">
        <v>1037</v>
      </c>
      <c r="E124" s="16" t="n">
        <v>630</v>
      </c>
      <c r="F124" s="16" t="n">
        <v>181</v>
      </c>
      <c r="G124" s="16" t="n">
        <v>94</v>
      </c>
      <c r="H124" s="16" t="n">
        <v>55</v>
      </c>
    </row>
    <row r="125" customFormat="false" ht="15" hidden="false" customHeight="false" outlineLevel="0" collapsed="false">
      <c r="A125" s="16" t="n">
        <v>11</v>
      </c>
      <c r="B125" s="17" t="s">
        <v>19</v>
      </c>
      <c r="C125" s="17" t="s">
        <v>24</v>
      </c>
      <c r="D125" s="16" t="n">
        <v>2678</v>
      </c>
      <c r="E125" s="16" t="n">
        <v>1509</v>
      </c>
      <c r="F125" s="16" t="n">
        <v>340</v>
      </c>
      <c r="G125" s="16" t="n">
        <v>163</v>
      </c>
      <c r="H125" s="16" t="n">
        <v>90</v>
      </c>
    </row>
    <row r="126" customFormat="false" ht="15" hidden="false" customHeight="false" outlineLevel="0" collapsed="false">
      <c r="A126" s="16" t="n">
        <v>11</v>
      </c>
      <c r="B126" s="17" t="s">
        <v>19</v>
      </c>
      <c r="C126" s="17" t="s">
        <v>25</v>
      </c>
      <c r="D126" s="16" t="n">
        <v>4061</v>
      </c>
      <c r="E126" s="16" t="n">
        <v>2148</v>
      </c>
      <c r="F126" s="16" t="n">
        <v>452</v>
      </c>
      <c r="G126" s="16" t="n">
        <v>195</v>
      </c>
      <c r="H126" s="16" t="n">
        <v>81</v>
      </c>
    </row>
    <row r="127" customFormat="false" ht="15" hidden="false" customHeight="false" outlineLevel="0" collapsed="false">
      <c r="A127" s="16" t="n">
        <v>11</v>
      </c>
      <c r="B127" s="17" t="s">
        <v>19</v>
      </c>
      <c r="C127" s="17" t="s">
        <v>26</v>
      </c>
      <c r="D127" s="16" t="n">
        <v>817</v>
      </c>
      <c r="E127" s="16" t="n">
        <v>435</v>
      </c>
      <c r="F127" s="16" t="n">
        <v>87</v>
      </c>
      <c r="G127" s="16" t="n">
        <v>37</v>
      </c>
      <c r="H127" s="16" t="n">
        <v>18</v>
      </c>
    </row>
    <row r="128" customFormat="false" ht="15" hidden="false" customHeight="false" outlineLevel="0" collapsed="false">
      <c r="A128" s="16" t="n">
        <v>11</v>
      </c>
      <c r="B128" s="17" t="s">
        <v>20</v>
      </c>
      <c r="C128" s="17" t="s">
        <v>24</v>
      </c>
      <c r="D128" s="16" t="n">
        <v>1276</v>
      </c>
      <c r="E128" s="16" t="n">
        <v>895</v>
      </c>
      <c r="F128" s="16" t="n">
        <v>346</v>
      </c>
      <c r="G128" s="16" t="n">
        <v>216</v>
      </c>
      <c r="H128" s="16" t="n">
        <v>159</v>
      </c>
    </row>
    <row r="129" customFormat="false" ht="15" hidden="false" customHeight="false" outlineLevel="0" collapsed="false">
      <c r="A129" s="16" t="n">
        <v>11</v>
      </c>
      <c r="B129" s="17" t="s">
        <v>20</v>
      </c>
      <c r="C129" s="17" t="s">
        <v>25</v>
      </c>
      <c r="D129" s="16" t="n">
        <v>1731</v>
      </c>
      <c r="E129" s="16" t="n">
        <v>1172</v>
      </c>
      <c r="F129" s="16" t="n">
        <v>415</v>
      </c>
      <c r="G129" s="16" t="n">
        <v>258</v>
      </c>
      <c r="H129" s="16" t="n">
        <v>139</v>
      </c>
    </row>
    <row r="130" customFormat="false" ht="15" hidden="false" customHeight="false" outlineLevel="0" collapsed="false">
      <c r="A130" s="16" t="n">
        <v>11</v>
      </c>
      <c r="B130" s="17" t="s">
        <v>20</v>
      </c>
      <c r="C130" s="17" t="s">
        <v>26</v>
      </c>
      <c r="D130" s="16" t="n">
        <v>364</v>
      </c>
      <c r="E130" s="16" t="n">
        <v>256</v>
      </c>
      <c r="F130" s="16" t="n">
        <v>94</v>
      </c>
      <c r="G130" s="16" t="n">
        <v>53</v>
      </c>
      <c r="H130" s="16" t="n">
        <v>37</v>
      </c>
    </row>
    <row r="131" customFormat="false" ht="15" hidden="false" customHeight="false" outlineLevel="0" collapsed="false">
      <c r="A131" s="16" t="n">
        <v>11</v>
      </c>
      <c r="B131" s="17" t="s">
        <v>21</v>
      </c>
      <c r="C131" s="17" t="s">
        <v>24</v>
      </c>
      <c r="D131" s="16" t="n">
        <v>1938</v>
      </c>
      <c r="E131" s="16" t="n">
        <v>964</v>
      </c>
      <c r="F131" s="16" t="n">
        <v>184</v>
      </c>
      <c r="G131" s="16" t="n">
        <v>77</v>
      </c>
      <c r="H131" s="16" t="n">
        <v>40</v>
      </c>
    </row>
    <row r="132" customFormat="false" ht="15" hidden="false" customHeight="false" outlineLevel="0" collapsed="false">
      <c r="A132" s="16" t="n">
        <v>11</v>
      </c>
      <c r="B132" s="17" t="s">
        <v>21</v>
      </c>
      <c r="C132" s="17" t="s">
        <v>25</v>
      </c>
      <c r="D132" s="16" t="n">
        <v>2859</v>
      </c>
      <c r="E132" s="16" t="n">
        <v>1310</v>
      </c>
      <c r="F132" s="16" t="n">
        <v>250</v>
      </c>
      <c r="G132" s="16" t="n">
        <v>99</v>
      </c>
      <c r="H132" s="16" t="n">
        <v>39</v>
      </c>
    </row>
    <row r="133" customFormat="false" ht="15" hidden="false" customHeight="false" outlineLevel="0" collapsed="false">
      <c r="A133" s="16" t="n">
        <v>11</v>
      </c>
      <c r="B133" s="17" t="s">
        <v>21</v>
      </c>
      <c r="C133" s="17" t="s">
        <v>26</v>
      </c>
      <c r="D133" s="16" t="n">
        <v>543</v>
      </c>
      <c r="E133" s="16" t="n">
        <v>249</v>
      </c>
      <c r="F133" s="16" t="n">
        <v>43</v>
      </c>
      <c r="G133" s="16" t="n">
        <v>15</v>
      </c>
      <c r="H133" s="16" t="n">
        <v>6</v>
      </c>
    </row>
    <row r="134" customFormat="false" ht="15" hidden="false" customHeight="false" outlineLevel="0" collapsed="false">
      <c r="A134" s="16" t="n">
        <v>12</v>
      </c>
      <c r="B134" s="17" t="s">
        <v>18</v>
      </c>
      <c r="C134" s="17" t="s">
        <v>24</v>
      </c>
      <c r="D134" s="16" t="n">
        <v>3572</v>
      </c>
      <c r="E134" s="16" t="n">
        <v>2171</v>
      </c>
      <c r="F134" s="16" t="n">
        <v>731</v>
      </c>
      <c r="G134" s="16" t="n">
        <v>406</v>
      </c>
      <c r="H134" s="16" t="n">
        <v>287</v>
      </c>
    </row>
    <row r="135" customFormat="false" ht="15" hidden="false" customHeight="false" outlineLevel="0" collapsed="false">
      <c r="A135" s="16" t="n">
        <v>12</v>
      </c>
      <c r="B135" s="17" t="s">
        <v>18</v>
      </c>
      <c r="C135" s="17" t="s">
        <v>25</v>
      </c>
      <c r="D135" s="16" t="n">
        <v>5661</v>
      </c>
      <c r="E135" s="16" t="n">
        <v>3611</v>
      </c>
      <c r="F135" s="16" t="n">
        <v>1041</v>
      </c>
      <c r="G135" s="16" t="n">
        <v>573</v>
      </c>
      <c r="H135" s="16" t="n">
        <v>282</v>
      </c>
    </row>
    <row r="136" customFormat="false" ht="15" hidden="false" customHeight="false" outlineLevel="0" collapsed="false">
      <c r="A136" s="16" t="n">
        <v>12</v>
      </c>
      <c r="B136" s="17" t="s">
        <v>18</v>
      </c>
      <c r="C136" s="17" t="s">
        <v>26</v>
      </c>
      <c r="D136" s="16" t="n">
        <v>996</v>
      </c>
      <c r="E136" s="16" t="n">
        <v>639</v>
      </c>
      <c r="F136" s="16" t="n">
        <v>194</v>
      </c>
      <c r="G136" s="16" t="n">
        <v>99</v>
      </c>
      <c r="H136" s="16" t="n">
        <v>59</v>
      </c>
    </row>
    <row r="137" customFormat="false" ht="15" hidden="false" customHeight="false" outlineLevel="0" collapsed="false">
      <c r="A137" s="16" t="n">
        <v>12</v>
      </c>
      <c r="B137" s="17" t="s">
        <v>19</v>
      </c>
      <c r="C137" s="17" t="s">
        <v>24</v>
      </c>
      <c r="D137" s="16" t="n">
        <v>2804</v>
      </c>
      <c r="E137" s="16" t="n">
        <v>1579</v>
      </c>
      <c r="F137" s="16" t="n">
        <v>387</v>
      </c>
      <c r="G137" s="16" t="n">
        <v>177</v>
      </c>
      <c r="H137" s="16" t="n">
        <v>97</v>
      </c>
    </row>
    <row r="138" customFormat="false" ht="15" hidden="false" customHeight="false" outlineLevel="0" collapsed="false">
      <c r="A138" s="16" t="n">
        <v>12</v>
      </c>
      <c r="B138" s="17" t="s">
        <v>19</v>
      </c>
      <c r="C138" s="17" t="s">
        <v>25</v>
      </c>
      <c r="D138" s="16" t="n">
        <v>4450</v>
      </c>
      <c r="E138" s="16" t="n">
        <v>2363</v>
      </c>
      <c r="F138" s="16" t="n">
        <v>496</v>
      </c>
      <c r="G138" s="16" t="n">
        <v>213</v>
      </c>
      <c r="H138" s="16" t="n">
        <v>82</v>
      </c>
    </row>
    <row r="139" customFormat="false" ht="15" hidden="false" customHeight="false" outlineLevel="0" collapsed="false">
      <c r="A139" s="16" t="n">
        <v>12</v>
      </c>
      <c r="B139" s="17" t="s">
        <v>19</v>
      </c>
      <c r="C139" s="17" t="s">
        <v>26</v>
      </c>
      <c r="D139" s="16" t="n">
        <v>776</v>
      </c>
      <c r="E139" s="16" t="n">
        <v>430</v>
      </c>
      <c r="F139" s="16" t="n">
        <v>87</v>
      </c>
      <c r="G139" s="16" t="n">
        <v>36</v>
      </c>
      <c r="H139" s="16" t="n">
        <v>18</v>
      </c>
    </row>
    <row r="140" customFormat="false" ht="15" hidden="false" customHeight="false" outlineLevel="0" collapsed="false">
      <c r="A140" s="16" t="n">
        <v>12</v>
      </c>
      <c r="B140" s="17" t="s">
        <v>20</v>
      </c>
      <c r="C140" s="17" t="s">
        <v>24</v>
      </c>
      <c r="D140" s="16" t="n">
        <v>1223</v>
      </c>
      <c r="E140" s="16" t="n">
        <v>852</v>
      </c>
      <c r="F140" s="16" t="n">
        <v>348</v>
      </c>
      <c r="G140" s="16" t="n">
        <v>236</v>
      </c>
      <c r="H140" s="16" t="n">
        <v>189</v>
      </c>
    </row>
    <row r="141" customFormat="false" ht="15" hidden="false" customHeight="false" outlineLevel="0" collapsed="false">
      <c r="A141" s="16" t="n">
        <v>12</v>
      </c>
      <c r="B141" s="17" t="s">
        <v>20</v>
      </c>
      <c r="C141" s="17" t="s">
        <v>25</v>
      </c>
      <c r="D141" s="16" t="n">
        <v>1894</v>
      </c>
      <c r="E141" s="16" t="n">
        <v>1347</v>
      </c>
      <c r="F141" s="16" t="n">
        <v>542</v>
      </c>
      <c r="G141" s="16" t="n">
        <v>333</v>
      </c>
      <c r="H141" s="16" t="n">
        <v>187</v>
      </c>
    </row>
    <row r="142" customFormat="false" ht="15" hidden="false" customHeight="false" outlineLevel="0" collapsed="false">
      <c r="A142" s="16" t="n">
        <v>12</v>
      </c>
      <c r="B142" s="17" t="s">
        <v>20</v>
      </c>
      <c r="C142" s="17" t="s">
        <v>26</v>
      </c>
      <c r="D142" s="16" t="n">
        <v>345</v>
      </c>
      <c r="E142" s="16" t="n">
        <v>251</v>
      </c>
      <c r="F142" s="16" t="n">
        <v>94</v>
      </c>
      <c r="G142" s="16" t="n">
        <v>52</v>
      </c>
      <c r="H142" s="16" t="n">
        <v>32</v>
      </c>
    </row>
    <row r="143" customFormat="false" ht="15" hidden="false" customHeight="false" outlineLevel="0" collapsed="false">
      <c r="A143" s="16" t="n">
        <v>12</v>
      </c>
      <c r="B143" s="17" t="s">
        <v>21</v>
      </c>
      <c r="C143" s="17" t="s">
        <v>24</v>
      </c>
      <c r="D143" s="16" t="n">
        <v>1884</v>
      </c>
      <c r="E143" s="16" t="n">
        <v>926</v>
      </c>
      <c r="F143" s="16" t="n">
        <v>176</v>
      </c>
      <c r="G143" s="16" t="n">
        <v>72</v>
      </c>
      <c r="H143" s="16" t="n">
        <v>36</v>
      </c>
    </row>
    <row r="144" customFormat="false" ht="15" hidden="false" customHeight="false" outlineLevel="0" collapsed="false">
      <c r="A144" s="16" t="n">
        <v>12</v>
      </c>
      <c r="B144" s="17" t="s">
        <v>21</v>
      </c>
      <c r="C144" s="17" t="s">
        <v>25</v>
      </c>
      <c r="D144" s="16" t="n">
        <v>3196</v>
      </c>
      <c r="E144" s="16" t="n">
        <v>1564</v>
      </c>
      <c r="F144" s="16" t="n">
        <v>298</v>
      </c>
      <c r="G144" s="16" t="n">
        <v>119</v>
      </c>
      <c r="H144" s="16" t="n">
        <v>45</v>
      </c>
    </row>
    <row r="145" customFormat="false" ht="15" hidden="false" customHeight="false" outlineLevel="0" collapsed="false">
      <c r="A145" s="16" t="n">
        <v>12</v>
      </c>
      <c r="B145" s="17" t="s">
        <v>21</v>
      </c>
      <c r="C145" s="17" t="s">
        <v>26</v>
      </c>
      <c r="D145" s="16" t="n">
        <v>513</v>
      </c>
      <c r="E145" s="16" t="n">
        <v>234</v>
      </c>
      <c r="F145" s="16" t="n">
        <v>39</v>
      </c>
      <c r="G145" s="16" t="n">
        <v>14</v>
      </c>
      <c r="H145" s="16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2026-10-05T07:26:22Z</dcterms:created>
  <dc:creator>openpyxl</dc:creator>
  <dc:description/>
  <dc:language>en-US</dc:language>
  <cp:lastModifiedBy/>
  <dcterms:modified xsi:type="dcterms:W3CDTF">2026-10-05T07:26:24Z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